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  <sheet xmlns:r="http://schemas.openxmlformats.org/officeDocument/2006/relationships" name="Варианты" sheetId="2" state="visible" r:id="rId2"/>
    <sheet xmlns:r="http://schemas.openxmlformats.org/officeDocument/2006/relationships" name="Сравнение" sheetId="3" state="visible" r:id="rId3"/>
  </sheets>
  <definedNames>
    <definedName name="_xlnm._FilterDatabase" localSheetId="0" hidden="1">'Параметры'!$A$4:$D$16</definedName>
    <definedName name="_xlnm._FilterDatabase" localSheetId="1" hidden="1">'Варианты'!$A$4:$H$7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color rgb="00163A5B"/>
      <sz val="10"/>
    </font>
    <font>
      <name val="Segoe UI"/>
      <b val="1"/>
      <color rgb="00B42318"/>
      <sz val="10"/>
    </font>
    <font>
      <name val="Segoe UI"/>
      <b val="1"/>
      <color rgb="00FFFFFF"/>
    </font>
    <font>
      <name val="Segoe UI"/>
      <b val="1"/>
      <color rgb="00FFFFFF"/>
      <sz val="14"/>
    </font>
    <font>
      <name val="Segoe U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63A5B"/>
      </patternFill>
    </fill>
    <fill>
      <patternFill patternType="solid">
        <fgColor rgb="00EEF3F8"/>
      </patternFill>
    </fill>
    <fill>
      <patternFill patternType="solid">
        <fgColor rgb="00FCE8E8"/>
      </patternFill>
    </fill>
    <fill>
      <patternFill patternType="solid">
        <fgColor rgb="000F6B78"/>
      </patternFill>
    </fill>
    <fill>
      <patternFill patternType="solid">
        <fgColor rgb="00FFF4D6"/>
      </patternFill>
    </fill>
  </fills>
  <borders count="3">
    <border>
      <left/>
      <right/>
      <top/>
      <bottom/>
      <diagonal/>
    </border>
    <border>
      <bottom style="thin">
        <color rgb="00C9D4E0"/>
      </bottom>
    </border>
    <border>
      <left/>
      <right/>
      <top/>
      <bottom style="thin">
        <color rgb="00C9D4E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0" fillId="0" borderId="2" pivotButton="0" quotePrefix="0" xfId="0"/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17" customWidth="1" min="3" max="3"/>
    <col width="72" customWidth="1" min="4" max="4"/>
  </cols>
  <sheetData>
    <row r="1" ht="28" customHeight="1">
      <c r="A1" s="1" t="inlineStr">
        <is>
          <t>РОСА · БЛАНК ЭКОНОМИЧЕСКОЙ ОЦЕНКИ</t>
        </is>
      </c>
    </row>
    <row r="2" ht="30" customHeight="1">
      <c r="A2" s="2" t="inlineStr">
        <is>
          <t>Заполните выделенные ячейки. Загружайте файл в разделе «6. Экономическая оценка» для выбранного объекта.</t>
        </is>
      </c>
    </row>
    <row r="3" ht="34" customHeight="1">
      <c r="A3" s="3" t="inlineStr">
        <is>
          <t>Учебные значения и формулы не заменяют исходные данные и проверку экономиста. Реестр отказов в этот бланк не включается.</t>
        </is>
      </c>
    </row>
    <row r="4" ht="25" customHeight="1">
      <c r="A4" s="4" t="inlineStr">
        <is>
          <t>Параметр</t>
        </is>
      </c>
      <c r="B4" s="4" t="inlineStr">
        <is>
          <t>Значение</t>
        </is>
      </c>
      <c r="C4" s="4" t="inlineStr">
        <is>
          <t>Единица</t>
        </is>
      </c>
      <c r="D4" s="4" t="inlineStr">
        <is>
          <t>Пояснение</t>
        </is>
      </c>
    </row>
    <row r="5" ht="30" customHeight="1">
      <c r="A5" s="5" t="inlineStr">
        <is>
          <t>Объект</t>
        </is>
      </c>
      <c r="B5" s="6" t="inlineStr"/>
      <c r="C5" s="5" t="inlineStr"/>
      <c r="D5" s="5" t="inlineStr">
        <is>
          <t>Должен совпадать с объектом, закреплённым в РОСА; пустое значение означает текущий объект.</t>
        </is>
      </c>
    </row>
    <row r="6" ht="30" customHeight="1">
      <c r="A6" s="5" t="inlineStr">
        <is>
          <t>Текущий МРП</t>
        </is>
      </c>
      <c r="B6" s="6" t="n"/>
      <c r="C6" s="5" t="inlineStr">
        <is>
          <t>сут.</t>
        </is>
      </c>
      <c r="D6" s="5" t="inlineStr">
        <is>
          <t>Фактическая или принятая база для сравнения.</t>
        </is>
      </c>
    </row>
    <row r="7" ht="30" customHeight="1">
      <c r="A7" s="5" t="inlineStr">
        <is>
          <t>МРП осторожный</t>
        </is>
      </c>
      <c r="B7" s="6" t="n"/>
      <c r="C7" s="5" t="inlineStr">
        <is>
          <t>сут.</t>
        </is>
      </c>
      <c r="D7" s="5" t="inlineStr">
        <is>
          <t>Нижний сценарный прогноз.</t>
        </is>
      </c>
    </row>
    <row r="8" ht="30" customHeight="1">
      <c r="A8" s="5" t="inlineStr">
        <is>
          <t>МРП центральный</t>
        </is>
      </c>
      <c r="B8" s="6" t="n"/>
      <c r="C8" s="5" t="inlineStr">
        <is>
          <t>сут.</t>
        </is>
      </c>
      <c r="D8" s="5" t="inlineStr">
        <is>
          <t>Основной прогноз на выбранный горизонт.</t>
        </is>
      </c>
    </row>
    <row r="9" ht="30" customHeight="1">
      <c r="A9" s="5" t="inlineStr">
        <is>
          <t>МРП благоприятный</t>
        </is>
      </c>
      <c r="B9" s="6" t="n"/>
      <c r="C9" s="5" t="inlineStr">
        <is>
          <t>сут.</t>
        </is>
      </c>
      <c r="D9" s="5" t="inlineStr">
        <is>
          <t>Верхний сценарный прогноз.</t>
        </is>
      </c>
    </row>
    <row r="10" ht="30" customHeight="1">
      <c r="A10" s="5" t="inlineStr">
        <is>
          <t>Выбранный сценарий</t>
        </is>
      </c>
      <c r="B10" s="6" t="inlineStr">
        <is>
          <t>Центральный</t>
        </is>
      </c>
      <c r="C10" s="5" t="inlineStr"/>
      <c r="D10" s="5" t="inlineStr">
        <is>
          <t>Осторожный, Центральный или Благоприятный.</t>
        </is>
      </c>
    </row>
    <row r="11" ht="30" customHeight="1">
      <c r="A11" s="5" t="inlineStr">
        <is>
          <t>Горизонт</t>
        </is>
      </c>
      <c r="B11" s="6" t="n">
        <v>36</v>
      </c>
      <c r="C11" s="5" t="inlineStr">
        <is>
          <t>мес.</t>
        </is>
      </c>
      <c r="D11" s="5" t="inlineStr">
        <is>
          <t>Целое число от 1 до 60 месяцев.</t>
        </is>
      </c>
    </row>
    <row r="12" ht="30" customHeight="1">
      <c r="A12" s="5" t="inlineStr">
        <is>
          <t>Длительность ремонта</t>
        </is>
      </c>
      <c r="B12" s="6" t="n"/>
      <c r="C12" s="5" t="inlineStr">
        <is>
          <t>сут.</t>
        </is>
      </c>
      <c r="D12" s="5" t="inlineStr">
        <is>
          <t>Средняя длительность одного ремонта.</t>
        </is>
      </c>
    </row>
    <row r="13" ht="30" customHeight="1">
      <c r="A13" s="5" t="inlineStr">
        <is>
          <t>Стоимость ремонта</t>
        </is>
      </c>
      <c r="B13" s="6" t="n"/>
      <c r="C13" s="5" t="inlineStr">
        <is>
          <t>руб.</t>
        </is>
      </c>
      <c r="D13" s="5" t="inlineStr">
        <is>
          <t>Стоимость одного ремонта.</t>
        </is>
      </c>
    </row>
    <row r="14" ht="30" customHeight="1">
      <c r="A14" s="5" t="inlineStr">
        <is>
          <t>OPEX</t>
        </is>
      </c>
      <c r="B14" s="6" t="n"/>
      <c r="C14" s="5" t="inlineStr">
        <is>
          <t>руб./год</t>
        </is>
      </c>
      <c r="D14" s="5" t="inlineStr">
        <is>
          <t>Эксплуатационные затраты выбранного варианта.</t>
        </is>
      </c>
    </row>
    <row r="15" ht="30" customHeight="1">
      <c r="A15" s="5" t="inlineStr">
        <is>
          <t>Инфляция OPEX</t>
        </is>
      </c>
      <c r="B15" s="6" t="n">
        <v>0</v>
      </c>
      <c r="C15" s="5" t="inlineStr">
        <is>
          <t>%/год</t>
        </is>
      </c>
      <c r="D15" s="5" t="inlineStr">
        <is>
          <t>Годовой темп изменения эксплуатационных затрат.</t>
        </is>
      </c>
    </row>
    <row r="16" ht="30" customHeight="1">
      <c r="A16" s="5" t="inlineStr">
        <is>
          <t>CAPEX</t>
        </is>
      </c>
      <c r="B16" s="6" t="n"/>
      <c r="C16" s="5" t="inlineStr">
        <is>
          <t>руб.</t>
        </is>
      </c>
      <c r="D16" s="5" t="inlineStr">
        <is>
          <t>Разовые капитальные и материальные затраты.</t>
        </is>
      </c>
    </row>
  </sheetData>
  <autoFilter ref="A4:D16"/>
  <mergeCells count="3">
    <mergeCell ref="A1:D1"/>
    <mergeCell ref="A3:D3"/>
    <mergeCell ref="A2:D2"/>
  </mergeCells>
  <dataValidations count="2">
    <dataValidation sqref="B10" showDropDown="0" showInputMessage="0" showErrorMessage="0" allowBlank="0" type="list">
      <formula1>"Осторожный,Центральный,Благоприятный"</formula1>
    </dataValidation>
    <dataValidation sqref="B11" showDropDown="0" showInputMessage="0" showErrorMessage="0" allowBlank="0" type="whole" operator="between">
      <formula1>1</formula1>
      <formula2>60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48" customWidth="1" min="3" max="3"/>
    <col width="20" customWidth="1" min="4" max="4"/>
    <col width="20" customWidth="1" min="5" max="5"/>
    <col width="22" customWidth="1" min="6" max="6"/>
    <col width="22" customWidth="1" min="7" max="7"/>
    <col width="20" customWidth="1" min="8" max="8"/>
  </cols>
  <sheetData>
    <row r="1" ht="28" customHeight="1">
      <c r="A1" s="7" t="inlineStr">
        <is>
          <t>ПАРАМЕТРЫ ПАРАЛЛЕЛЬНЫХ ЭКОНОМИЧЕСКИХ ВАРИАНТОВ</t>
        </is>
      </c>
    </row>
    <row r="2" ht="30" customHeight="1">
      <c r="A2" s="2" t="inlineStr">
        <is>
          <t>Не меняйте состав методов в этой таблице. Названия и методы берутся из раздела 4; при загрузке строки применяются к вариантам по порядку.</t>
        </is>
      </c>
    </row>
    <row r="3" ht="30" customHeight="1">
      <c r="A3" s="3" t="inlineStr">
        <is>
          <t>Пустые значения не заменяют показатели, уже сохранённые в выбранной схеме. Суммы — в рублях, МРП — в сутках.</t>
        </is>
      </c>
    </row>
    <row r="4" ht="36" customHeight="1">
      <c r="A4" s="8" t="inlineStr">
        <is>
          <t>№</t>
        </is>
      </c>
      <c r="B4" s="8" t="inlineStr">
        <is>
          <t>Вариант</t>
        </is>
      </c>
      <c r="C4" s="8" t="inlineStr">
        <is>
          <t>Методы (справочно)</t>
        </is>
      </c>
      <c r="D4" s="8" t="inlineStr">
        <is>
          <t>МРП осторожный</t>
        </is>
      </c>
      <c r="E4" s="8" t="inlineStr">
        <is>
          <t>МРП центральный</t>
        </is>
      </c>
      <c r="F4" s="8" t="inlineStr">
        <is>
          <t>МРП благоприятный</t>
        </is>
      </c>
      <c r="G4" s="8" t="inlineStr">
        <is>
          <t>OPEX, руб./год</t>
        </is>
      </c>
      <c r="H4" s="8" t="inlineStr">
        <is>
          <t>CAPEX, руб.</t>
        </is>
      </c>
    </row>
    <row r="5" ht="28" customHeight="1">
      <c r="A5" s="5" t="n">
        <v>1</v>
      </c>
      <c r="B5" s="5" t="inlineStr">
        <is>
          <t>Вариант 1</t>
        </is>
      </c>
      <c r="C5" s="5" t="inlineStr"/>
      <c r="D5" s="6" t="n"/>
      <c r="E5" s="6" t="n"/>
      <c r="F5" s="6" t="n"/>
      <c r="G5" s="6" t="n"/>
      <c r="H5" s="6" t="n"/>
    </row>
    <row r="6" ht="28" customHeight="1">
      <c r="A6" s="5" t="n">
        <v>2</v>
      </c>
      <c r="B6" s="5" t="inlineStr">
        <is>
          <t>Вариант 2</t>
        </is>
      </c>
      <c r="C6" s="5" t="inlineStr"/>
      <c r="D6" s="6" t="n"/>
      <c r="E6" s="6" t="n"/>
      <c r="F6" s="6" t="n"/>
      <c r="G6" s="6" t="n"/>
      <c r="H6" s="6" t="n"/>
    </row>
    <row r="7" ht="28" customHeight="1">
      <c r="A7" s="5" t="n">
        <v>3</v>
      </c>
      <c r="B7" s="5" t="inlineStr">
        <is>
          <t>Вариант 3</t>
        </is>
      </c>
      <c r="C7" s="5" t="inlineStr"/>
      <c r="D7" s="6" t="n"/>
      <c r="E7" s="6" t="n"/>
      <c r="F7" s="6" t="n"/>
      <c r="G7" s="6" t="n"/>
      <c r="H7" s="6" t="n"/>
    </row>
  </sheetData>
  <autoFilter ref="A4:H7"/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3" customWidth="1" min="3" max="3"/>
    <col width="24" customWidth="1" min="4" max="4"/>
    <col width="26" customWidth="1" min="5" max="5"/>
    <col width="22" customWidth="1" min="6" max="6"/>
    <col width="18" customWidth="1" min="7" max="7"/>
    <col width="23" customWidth="1" min="8" max="8"/>
    <col width="17" customWidth="1" min="9" max="9"/>
    <col width="19" customWidth="1" min="10" max="10"/>
  </cols>
  <sheetData>
    <row r="1" ht="28" customHeight="1">
      <c r="A1" s="9" t="inlineStr">
        <is>
          <t>СРАВНЕНИЕ ВАРИАНТОВ · ФОРМУЛЫ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</row>
    <row r="2" ht="38" customHeight="1">
      <c r="A2" s="11" t="inlineStr">
        <is>
          <t>Результаты пересчитываются в Excel после заполнения листов «Параметры» и «Варианты». Суммарные значения не включают реестр отказов.</t>
        </is>
      </c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</row>
    <row r="3">
      <c r="A3" s="12" t="n"/>
      <c r="B3" s="12" t="n"/>
      <c r="C3" s="12" t="n"/>
      <c r="D3" s="12" t="n"/>
      <c r="E3" s="12" t="n"/>
      <c r="F3" s="12" t="n"/>
      <c r="G3" s="12" t="n"/>
      <c r="H3" s="12" t="n"/>
      <c r="I3" s="12" t="n"/>
      <c r="J3" s="12" t="n"/>
    </row>
    <row r="4" ht="48" customHeight="1">
      <c r="A4" s="13" t="inlineStr">
        <is>
          <t>Вариант</t>
        </is>
      </c>
      <c r="B4" s="13" t="inlineStr">
        <is>
          <t>МРП для расчёта, сут.</t>
        </is>
      </c>
      <c r="C4" s="13" t="inlineStr">
        <is>
          <t>Предотвращено ремонтов, шт./год</t>
        </is>
      </c>
      <c r="D4" s="13" t="inlineStr">
        <is>
          <t>Предотвращённый простой, сут./год</t>
        </is>
      </c>
      <c r="E4" s="13" t="inlineStr">
        <is>
          <t>Валовая выгода за горизонт, руб.</t>
        </is>
      </c>
      <c r="F4" s="13" t="inlineStr">
        <is>
          <t>OPEX за горизонт, руб.</t>
        </is>
      </c>
      <c r="G4" s="13" t="inlineStr">
        <is>
          <t>CAPEX, руб.</t>
        </is>
      </c>
      <c r="H4" s="13" t="inlineStr">
        <is>
          <t>Чистая выгода, руб.</t>
        </is>
      </c>
      <c r="I4" s="13" t="inlineStr">
        <is>
          <t>Выгода/затраты</t>
        </is>
      </c>
      <c r="J4" s="13" t="inlineStr">
        <is>
          <t>Окупаемость, мес.</t>
        </is>
      </c>
    </row>
    <row r="5" ht="34" customHeight="1">
      <c r="A5" s="5">
        <f>Варианты!B5</f>
        <v/>
      </c>
      <c r="B5" s="5">
        <f>IF(Варианты!E5="",Параметры!$B$8,Варианты!E5)</f>
        <v/>
      </c>
      <c r="C5" s="5">
        <f>IFERROR(MAX(0,365/Параметры!$B$6-365/B5),0)</f>
        <v/>
      </c>
      <c r="D5" s="5">
        <f>C5*IF(Параметры!$B$12="",0,Параметры!$B$12)</f>
        <v/>
      </c>
      <c r="E5" s="5">
        <f>C5*Параметры!$B$13*Параметры!$B$11/12</f>
        <v/>
      </c>
      <c r="F5" s="5">
        <f>SUMPRODUCT((ROW($1:$60)&lt;=Параметры!$B$11)*IF(Варианты!G5="",Параметры!$B$14,Варианты!G5)/12*(1+Параметры!$B$15/100)^INT((ROW($1:$60)-1)/12))</f>
        <v/>
      </c>
      <c r="G5" s="5">
        <f>IF(Варианты!H5="",Параметры!$B$16,Варианты!H5)</f>
        <v/>
      </c>
      <c r="H5" s="5">
        <f>E5-F5-G5</f>
        <v/>
      </c>
      <c r="I5" s="5">
        <f>IFERROR(E5/(F5+G5),0)</f>
        <v/>
      </c>
      <c r="J5" s="5">
        <f>IFERROR(G5/(C5*Параметры!$B$13-F5*12/Параметры!$B$11)*12,"")</f>
        <v/>
      </c>
    </row>
    <row r="6" ht="34" customHeight="1">
      <c r="A6" s="5">
        <f>Варианты!B6</f>
        <v/>
      </c>
      <c r="B6" s="5">
        <f>IF(Варианты!E6="",Параметры!$B$8,Варианты!E6)</f>
        <v/>
      </c>
      <c r="C6" s="5">
        <f>IFERROR(MAX(0,365/Параметры!$B$6-365/B6),0)</f>
        <v/>
      </c>
      <c r="D6" s="5">
        <f>C6*IF(Параметры!$B$12="",0,Параметры!$B$12)</f>
        <v/>
      </c>
      <c r="E6" s="5">
        <f>C6*Параметры!$B$13*Параметры!$B$11/12</f>
        <v/>
      </c>
      <c r="F6" s="5">
        <f>SUMPRODUCT((ROW($1:$60)&lt;=Параметры!$B$11)*IF(Варианты!G6="",Параметры!$B$14,Варианты!G6)/12*(1+Параметры!$B$15/100)^INT((ROW($1:$60)-1)/12))</f>
        <v/>
      </c>
      <c r="G6" s="5">
        <f>IF(Варианты!H6="",Параметры!$B$16,Варианты!H6)</f>
        <v/>
      </c>
      <c r="H6" s="5">
        <f>E6-F6-G6</f>
        <v/>
      </c>
      <c r="I6" s="5">
        <f>IFERROR(E6/(F6+G6),0)</f>
        <v/>
      </c>
      <c r="J6" s="5">
        <f>IFERROR(G6/(C6*Параметры!$B$13-F6*12/Параметры!$B$11)*12,"")</f>
        <v/>
      </c>
    </row>
    <row r="7" ht="34" customHeight="1">
      <c r="A7" s="5">
        <f>Варианты!B7</f>
        <v/>
      </c>
      <c r="B7" s="5">
        <f>IF(Варианты!E7="",Параметры!$B$8,Варианты!E7)</f>
        <v/>
      </c>
      <c r="C7" s="5">
        <f>IFERROR(MAX(0,365/Параметры!$B$6-365/B7),0)</f>
        <v/>
      </c>
      <c r="D7" s="5">
        <f>C7*IF(Параметры!$B$12="",0,Параметры!$B$12)</f>
        <v/>
      </c>
      <c r="E7" s="5">
        <f>C7*Параметры!$B$13*Параметры!$B$11/12</f>
        <v/>
      </c>
      <c r="F7" s="5">
        <f>SUMPRODUCT((ROW($1:$60)&lt;=Параметры!$B$11)*IF(Варианты!G7="",Параметры!$B$14,Варианты!G7)/12*(1+Параметры!$B$15/100)^INT((ROW($1:$60)-1)/12))</f>
        <v/>
      </c>
      <c r="G7" s="5">
        <f>IF(Варианты!H7="",Параметры!$B$16,Варианты!H7)</f>
        <v/>
      </c>
      <c r="H7" s="5">
        <f>E7-F7-G7</f>
        <v/>
      </c>
      <c r="I7" s="5">
        <f>IFERROR(E7/(F7+G7),0)</f>
        <v/>
      </c>
      <c r="J7" s="5">
        <f>IFERROR(G7/(C7*Параметры!$B$13-F7*12/Параметры!$B$11)*12,"")</f>
        <v/>
      </c>
    </row>
  </sheetData>
  <mergeCells count="2">
    <mergeCell ref="A1:J1"/>
    <mergeCell ref="A2:J2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2026-10-09T05:24:21Z</dcterms:created>
  <dcterms:modified xmlns:dcterms="http://purl.org/dc/terms/" xmlns:xsi="http://www.w3.org/2001/XMLSchema-instance" xsi:type="dcterms:W3CDTF">2026-10-09T05:24:21Z</dcterms:modified>
</cp:coreProperties>
</file>