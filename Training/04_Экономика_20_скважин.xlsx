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ценарии" sheetId="1" state="visible" r:id="rId1"/>
    <sheet xmlns:r="http://schemas.openxmlformats.org/officeDocument/2006/relationships" name="Сводка экономики" sheetId="2" state="visible" r:id="rId2"/>
  </sheets>
  <definedNames>
    <definedName name="_xlnm._FilterDatabase" localSheetId="0" hidden="1">'Сценарии'!$A$1:$R$184</definedName>
    <definedName name="_xlnm._FilterDatabase" localSheetId="1" hidden="1">'Сводка экономики'!$A$1:$H$20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163A5B"/>
      <sz val="14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A5B"/>
      </patternFill>
    </fill>
  </fills>
  <borders count="2">
    <border>
      <left/>
      <right/>
      <top/>
      <bottom/>
      <diagonal/>
    </border>
    <border>
      <bottom style="thin">
        <color rgb="00D5DE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4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52" customWidth="1" min="3" max="3"/>
    <col width="17" customWidth="1" min="4" max="4"/>
    <col width="12" customWidth="1" min="5" max="5"/>
    <col width="25" customWidth="1" min="6" max="6"/>
    <col width="46" customWidth="1" min="7" max="7"/>
    <col width="15" customWidth="1" min="8" max="8"/>
    <col width="18" customWidth="1" min="9" max="9"/>
    <col width="14" customWidth="1" min="10" max="10"/>
    <col width="19" customWidth="1" min="11" max="11"/>
    <col width="18" customWidth="1" min="12" max="12"/>
    <col width="21" customWidth="1" min="13" max="13"/>
    <col width="18" customWidth="1" min="14" max="14"/>
    <col width="18" customWidth="1" min="15" max="15"/>
    <col width="21" customWidth="1" min="16" max="16"/>
    <col width="18" customWidth="1" min="17" max="17"/>
    <col width="20" customWidth="1" min="18" max="18"/>
  </cols>
  <sheetData>
    <row r="1" ht="26" customHeight="1">
      <c r="A1" s="1" t="inlineStr">
        <is>
          <t>Экономические варианты · 20 скважин · три цикла по каждому объекту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30" customHeight="1">
      <c r="A2" t="inlineStr">
        <is>
          <t>Сценарии и суммы синтетические; агрегаты ниже не являются фактическим производственным эффектом.</t>
        </is>
      </c>
    </row>
    <row r="4">
      <c r="A4" s="2" t="inlineStr">
        <is>
          <t>ID экономического варианта</t>
        </is>
      </c>
      <c r="B4" s="2" t="inlineStr">
        <is>
          <t>ID скважины</t>
        </is>
      </c>
      <c r="C4" s="2" t="inlineStr">
        <is>
          <t>Объект</t>
        </is>
      </c>
      <c r="D4" s="2" t="inlineStr">
        <is>
          <t>Дата оценки</t>
        </is>
      </c>
      <c r="E4" s="2" t="inlineStr">
        <is>
          <t>Цикл, №</t>
        </is>
      </c>
      <c r="F4" s="2" t="inlineStr">
        <is>
          <t>Сценарий</t>
        </is>
      </c>
      <c r="G4" s="2" t="inlineStr">
        <is>
          <t>Вариант мероприятия</t>
        </is>
      </c>
      <c r="H4" s="2" t="inlineStr">
        <is>
          <t>МРП до, сут.</t>
        </is>
      </c>
      <c r="I4" s="2" t="inlineStr">
        <is>
          <t>Прогноз МРП, сут.</t>
        </is>
      </c>
      <c r="J4" s="2" t="inlineStr">
        <is>
          <t>Доп. дни</t>
        </is>
      </c>
      <c r="K4" s="2" t="inlineStr">
        <is>
          <t>Дебит нефти, м³/сут</t>
        </is>
      </c>
      <c r="L4" s="2" t="inlineStr">
        <is>
          <t>Netback, руб./м³</t>
        </is>
      </c>
      <c r="M4" s="2" t="inlineStr">
        <is>
          <t>Валовый эффект, руб.</t>
        </is>
      </c>
      <c r="N4" s="2" t="inlineStr">
        <is>
          <t>CAPEX, руб.</t>
        </is>
      </c>
      <c r="O4" s="2" t="inlineStr">
        <is>
          <t>OPEX, руб./год</t>
        </is>
      </c>
      <c r="P4" s="2" t="inlineStr">
        <is>
          <t>Чистый эффект, руб.</t>
        </is>
      </c>
      <c r="Q4" s="2" t="inlineStr">
        <is>
          <t>Выгода/затраты</t>
        </is>
      </c>
      <c r="R4" s="2" t="inlineStr">
        <is>
          <t>Окупаемость, мес.</t>
        </is>
      </c>
    </row>
    <row r="5">
      <c r="A5" s="3" t="inlineStr">
        <is>
          <t>EC-TRN-01-C1-A</t>
        </is>
      </c>
      <c r="B5" s="3" t="inlineStr">
        <is>
          <t>TRN-01</t>
        </is>
      </c>
      <c r="C5" s="3" t="inlineStr">
        <is>
          <t>Учебная скважина 01 · Авиловское учебное / скв. 101 / Бобриковский горизонт</t>
        </is>
      </c>
      <c r="D5" s="4" t="n">
        <v>45327</v>
      </c>
      <c r="E5" s="3" t="n">
        <v>1</v>
      </c>
      <c r="F5" s="3" t="inlineStr">
        <is>
          <t>Повтор метода</t>
        </is>
      </c>
      <c r="G5" s="3" t="inlineStr">
        <is>
          <t>Повторная корректировка: Ингибитор солеотложений</t>
        </is>
      </c>
      <c r="H5" s="3" t="n">
        <v>92</v>
      </c>
      <c r="I5" s="3" t="n">
        <v>117</v>
      </c>
      <c r="J5" s="3">
        <f>MAX(I5-H5,0)</f>
        <v/>
      </c>
      <c r="K5" s="3" t="n">
        <v>24.4</v>
      </c>
      <c r="L5" s="3" t="n">
        <v>11500</v>
      </c>
      <c r="M5" s="3">
        <f>J5*K5*L5</f>
        <v/>
      </c>
      <c r="N5" s="3" t="n">
        <v>283500</v>
      </c>
      <c r="O5" s="3" t="n">
        <v>115000</v>
      </c>
      <c r="P5" s="3">
        <f>M5-N5-O5*J5/365</f>
        <v/>
      </c>
      <c r="Q5" s="3">
        <f>IFERROR(M5/(N5+O5*J5/365),0)</f>
        <v/>
      </c>
      <c r="R5" s="3">
        <f>IFERROR(N5/((M5/MAX(1,J5)*365)-O5)*12,0)</f>
        <v/>
      </c>
    </row>
    <row r="6">
      <c r="A6" s="3" t="inlineStr">
        <is>
          <t>EC-TRN-01-C1-B</t>
        </is>
      </c>
      <c r="B6" s="3" t="inlineStr">
        <is>
          <t>TRN-01</t>
        </is>
      </c>
      <c r="C6" s="3" t="inlineStr">
        <is>
          <t>Учебная скважина 01 · Авиловское учебное / скв. 101 / Бобриковский горизонт</t>
        </is>
      </c>
      <c r="D6" s="4" t="n">
        <v>45327</v>
      </c>
      <c r="E6" s="3" t="n">
        <v>1</v>
      </c>
      <c r="F6" s="3" t="inlineStr">
        <is>
          <t>Новый подбор</t>
        </is>
      </c>
      <c r="G6" s="3" t="inlineStr">
        <is>
          <t>Повторная корректировка: Ингибитор солеотложений · лабораторная корректировка</t>
        </is>
      </c>
      <c r="H6" s="3" t="n">
        <v>92</v>
      </c>
      <c r="I6" s="3" t="n">
        <v>147</v>
      </c>
      <c r="J6" s="3">
        <f>MAX(I6-H6,0)</f>
        <v/>
      </c>
      <c r="K6" s="3" t="n">
        <v>24.4</v>
      </c>
      <c r="L6" s="3" t="n">
        <v>11500</v>
      </c>
      <c r="M6" s="3">
        <f>J6*K6*L6</f>
        <v/>
      </c>
      <c r="N6" s="3" t="n">
        <v>523500</v>
      </c>
      <c r="O6" s="3" t="n">
        <v>165000</v>
      </c>
      <c r="P6" s="3">
        <f>M6-N6-O6*J6/365</f>
        <v/>
      </c>
      <c r="Q6" s="3">
        <f>IFERROR(M6/(N6+O6*J6/365),0)</f>
        <v/>
      </c>
      <c r="R6" s="3">
        <f>IFERROR(N6/((M6/MAX(1,J6)*365)-O6)*12,0)</f>
        <v/>
      </c>
    </row>
    <row r="7">
      <c r="A7" s="3" t="inlineStr">
        <is>
          <t>EC-TRN-01-C1-C</t>
        </is>
      </c>
      <c r="B7" s="3" t="inlineStr">
        <is>
          <t>TRN-01</t>
        </is>
      </c>
      <c r="C7" s="3" t="inlineStr">
        <is>
          <t>Учебная скважина 01 · Авиловское учебное / скв. 101 / Бобриковский горизонт</t>
        </is>
      </c>
      <c r="D7" s="4" t="n">
        <v>45327</v>
      </c>
      <c r="E7" s="3" t="n">
        <v>1</v>
      </c>
      <c r="F7" s="3" t="inlineStr">
        <is>
          <t>Комплексная защита</t>
        </is>
      </c>
      <c r="G7" s="3" t="inlineStr">
        <is>
          <t>Комплекс: Повторная корректировка: Ингибитор солеотложений + мониторинг</t>
        </is>
      </c>
      <c r="H7" s="3" t="n">
        <v>92</v>
      </c>
      <c r="I7" s="3" t="n">
        <v>177</v>
      </c>
      <c r="J7" s="3">
        <f>MAX(I7-H7,0)</f>
        <v/>
      </c>
      <c r="K7" s="3" t="n">
        <v>24.4</v>
      </c>
      <c r="L7" s="3" t="n">
        <v>11500</v>
      </c>
      <c r="M7" s="3">
        <f>J7*K7*L7</f>
        <v/>
      </c>
      <c r="N7" s="3" t="n">
        <v>763500</v>
      </c>
      <c r="O7" s="3" t="n">
        <v>235000</v>
      </c>
      <c r="P7" s="3">
        <f>M7-N7-O7*J7/365</f>
        <v/>
      </c>
      <c r="Q7" s="3">
        <f>IFERROR(M7/(N7+O7*J7/365),0)</f>
        <v/>
      </c>
      <c r="R7" s="3">
        <f>IFERROR(N7/((M7/MAX(1,J7)*365)-O7)*12,0)</f>
        <v/>
      </c>
    </row>
    <row r="8">
      <c r="A8" s="3" t="inlineStr">
        <is>
          <t>EC-TRN-01-C2-A</t>
        </is>
      </c>
      <c r="B8" s="3" t="inlineStr">
        <is>
          <t>TRN-01</t>
        </is>
      </c>
      <c r="C8" s="3" t="inlineStr">
        <is>
          <t>Учебная скважина 01 · Авиловское учебное / скв. 101 / Бобриковский горизонт</t>
        </is>
      </c>
      <c r="D8" s="4" t="n">
        <v>45855</v>
      </c>
      <c r="E8" s="3" t="n">
        <v>2</v>
      </c>
      <c r="F8" s="3" t="inlineStr">
        <is>
          <t>Повтор метода</t>
        </is>
      </c>
      <c r="G8" s="3" t="inlineStr">
        <is>
          <t>Фильтрация и контроль фракций</t>
        </is>
      </c>
      <c r="H8" s="3" t="n">
        <v>523</v>
      </c>
      <c r="I8" s="3" t="n">
        <v>565</v>
      </c>
      <c r="J8" s="3">
        <f>MAX(I8-H8,0)</f>
        <v/>
      </c>
      <c r="K8" s="3" t="n">
        <v>24.4</v>
      </c>
      <c r="L8" s="3" t="n">
        <v>11500</v>
      </c>
      <c r="M8" s="3">
        <f>J8*K8*L8</f>
        <v/>
      </c>
      <c r="N8" s="3" t="n">
        <v>283500</v>
      </c>
      <c r="O8" s="3" t="n">
        <v>115000</v>
      </c>
      <c r="P8" s="3">
        <f>M8-N8-O8*J8/365</f>
        <v/>
      </c>
      <c r="Q8" s="3">
        <f>IFERROR(M8/(N8+O8*J8/365),0)</f>
        <v/>
      </c>
      <c r="R8" s="3">
        <f>IFERROR(N8/((M8/MAX(1,J8)*365)-O8)*12,0)</f>
        <v/>
      </c>
    </row>
    <row r="9">
      <c r="A9" s="3" t="inlineStr">
        <is>
          <t>EC-TRN-01-C2-B</t>
        </is>
      </c>
      <c r="B9" s="3" t="inlineStr">
        <is>
          <t>TRN-01</t>
        </is>
      </c>
      <c r="C9" s="3" t="inlineStr">
        <is>
          <t>Учебная скважина 01 · Авиловское учебное / скв. 101 / Бобриковский горизонт</t>
        </is>
      </c>
      <c r="D9" s="4" t="n">
        <v>45855</v>
      </c>
      <c r="E9" s="3" t="n">
        <v>2</v>
      </c>
      <c r="F9" s="3" t="inlineStr">
        <is>
          <t>Новый подбор</t>
        </is>
      </c>
      <c r="G9" s="3" t="inlineStr">
        <is>
          <t>Фильтрация и контроль фракций · лабораторная корректировка</t>
        </is>
      </c>
      <c r="H9" s="3" t="n">
        <v>523</v>
      </c>
      <c r="I9" s="3" t="n">
        <v>595</v>
      </c>
      <c r="J9" s="3">
        <f>MAX(I9-H9,0)</f>
        <v/>
      </c>
      <c r="K9" s="3" t="n">
        <v>24.4</v>
      </c>
      <c r="L9" s="3" t="n">
        <v>11500</v>
      </c>
      <c r="M9" s="3">
        <f>J9*K9*L9</f>
        <v/>
      </c>
      <c r="N9" s="3" t="n">
        <v>523500</v>
      </c>
      <c r="O9" s="3" t="n">
        <v>165000</v>
      </c>
      <c r="P9" s="3">
        <f>M9-N9-O9*J9/365</f>
        <v/>
      </c>
      <c r="Q9" s="3">
        <f>IFERROR(M9/(N9+O9*J9/365),0)</f>
        <v/>
      </c>
      <c r="R9" s="3">
        <f>IFERROR(N9/((M9/MAX(1,J9)*365)-O9)*12,0)</f>
        <v/>
      </c>
    </row>
    <row r="10">
      <c r="A10" s="3" t="inlineStr">
        <is>
          <t>EC-TRN-01-C2-C</t>
        </is>
      </c>
      <c r="B10" s="3" t="inlineStr">
        <is>
          <t>TRN-01</t>
        </is>
      </c>
      <c r="C10" s="3" t="inlineStr">
        <is>
          <t>Учебная скважина 01 · Авиловское учебное / скв. 101 / Бобриковский горизонт</t>
        </is>
      </c>
      <c r="D10" s="4" t="n">
        <v>45855</v>
      </c>
      <c r="E10" s="3" t="n">
        <v>2</v>
      </c>
      <c r="F10" s="3" t="inlineStr">
        <is>
          <t>Комплексная защита</t>
        </is>
      </c>
      <c r="G10" s="3" t="inlineStr">
        <is>
          <t>Комплекс: Фильтрация и контроль фракций + мониторинг</t>
        </is>
      </c>
      <c r="H10" s="3" t="n">
        <v>523</v>
      </c>
      <c r="I10" s="3" t="n">
        <v>625</v>
      </c>
      <c r="J10" s="3">
        <f>MAX(I10-H10,0)</f>
        <v/>
      </c>
      <c r="K10" s="3" t="n">
        <v>24.4</v>
      </c>
      <c r="L10" s="3" t="n">
        <v>11500</v>
      </c>
      <c r="M10" s="3">
        <f>J10*K10*L10</f>
        <v/>
      </c>
      <c r="N10" s="3" t="n">
        <v>763500</v>
      </c>
      <c r="O10" s="3" t="n">
        <v>235000</v>
      </c>
      <c r="P10" s="3">
        <f>M10-N10-O10*J10/365</f>
        <v/>
      </c>
      <c r="Q10" s="3">
        <f>IFERROR(M10/(N10+O10*J10/365),0)</f>
        <v/>
      </c>
      <c r="R10" s="3">
        <f>IFERROR(N10/((M10/MAX(1,J10)*365)-O10)*12,0)</f>
        <v/>
      </c>
    </row>
    <row r="11">
      <c r="A11" s="3" t="inlineStr">
        <is>
          <t>EC-TRN-01-C3-A</t>
        </is>
      </c>
      <c r="B11" s="3" t="inlineStr">
        <is>
          <t>TRN-01</t>
        </is>
      </c>
      <c r="C11" s="3" t="inlineStr">
        <is>
          <t>Учебная скважина 01 · Авиловское учебное / скв. 101 / Бобриковский горизонт</t>
        </is>
      </c>
      <c r="D11" s="4" t="n">
        <v>46082</v>
      </c>
      <c r="E11" s="3" t="n">
        <v>3</v>
      </c>
      <c r="F11" s="3" t="inlineStr">
        <is>
          <t>Повтор метода</t>
        </is>
      </c>
      <c r="G11" s="3" t="inlineStr">
        <is>
          <t>Биоцидная обработка + контроль</t>
        </is>
      </c>
      <c r="H11" s="3" t="n">
        <v>221</v>
      </c>
      <c r="I11" s="3" t="n">
        <v>280</v>
      </c>
      <c r="J11" s="3">
        <f>MAX(I11-H11,0)</f>
        <v/>
      </c>
      <c r="K11" s="3" t="n">
        <v>24.4</v>
      </c>
      <c r="L11" s="3" t="n">
        <v>11500</v>
      </c>
      <c r="M11" s="3">
        <f>J11*K11*L11</f>
        <v/>
      </c>
      <c r="N11" s="3" t="n">
        <v>283500</v>
      </c>
      <c r="O11" s="3" t="n">
        <v>115000</v>
      </c>
      <c r="P11" s="3">
        <f>M11-N11-O11*J11/365</f>
        <v/>
      </c>
      <c r="Q11" s="3">
        <f>IFERROR(M11/(N11+O11*J11/365),0)</f>
        <v/>
      </c>
      <c r="R11" s="3">
        <f>IFERROR(N11/((M11/MAX(1,J11)*365)-O11)*12,0)</f>
        <v/>
      </c>
    </row>
    <row r="12">
      <c r="A12" s="3" t="inlineStr">
        <is>
          <t>EC-TRN-01-C3-B</t>
        </is>
      </c>
      <c r="B12" s="3" t="inlineStr">
        <is>
          <t>TRN-01</t>
        </is>
      </c>
      <c r="C12" s="3" t="inlineStr">
        <is>
          <t>Учебная скважина 01 · Авиловское учебное / скв. 101 / Бобриковский горизонт</t>
        </is>
      </c>
      <c r="D12" s="4" t="n">
        <v>46082</v>
      </c>
      <c r="E12" s="3" t="n">
        <v>3</v>
      </c>
      <c r="F12" s="3" t="inlineStr">
        <is>
          <t>Новый подбор</t>
        </is>
      </c>
      <c r="G12" s="3" t="inlineStr">
        <is>
          <t>Биоцидная обработка + контроль · лабораторная корректировка</t>
        </is>
      </c>
      <c r="H12" s="3" t="n">
        <v>221</v>
      </c>
      <c r="I12" s="3" t="n">
        <v>310</v>
      </c>
      <c r="J12" s="3">
        <f>MAX(I12-H12,0)</f>
        <v/>
      </c>
      <c r="K12" s="3" t="n">
        <v>24.4</v>
      </c>
      <c r="L12" s="3" t="n">
        <v>11500</v>
      </c>
      <c r="M12" s="3">
        <f>J12*K12*L12</f>
        <v/>
      </c>
      <c r="N12" s="3" t="n">
        <v>523500</v>
      </c>
      <c r="O12" s="3" t="n">
        <v>165000</v>
      </c>
      <c r="P12" s="3">
        <f>M12-N12-O12*J12/365</f>
        <v/>
      </c>
      <c r="Q12" s="3">
        <f>IFERROR(M12/(N12+O12*J12/365),0)</f>
        <v/>
      </c>
      <c r="R12" s="3">
        <f>IFERROR(N12/((M12/MAX(1,J12)*365)-O12)*12,0)</f>
        <v/>
      </c>
    </row>
    <row r="13">
      <c r="A13" s="3" t="inlineStr">
        <is>
          <t>EC-TRN-01-C3-C</t>
        </is>
      </c>
      <c r="B13" s="3" t="inlineStr">
        <is>
          <t>TRN-01</t>
        </is>
      </c>
      <c r="C13" s="3" t="inlineStr">
        <is>
          <t>Учебная скважина 01 · Авиловское учебное / скв. 101 / Бобриковский горизонт</t>
        </is>
      </c>
      <c r="D13" s="4" t="n">
        <v>46082</v>
      </c>
      <c r="E13" s="3" t="n">
        <v>3</v>
      </c>
      <c r="F13" s="3" t="inlineStr">
        <is>
          <t>Комплексная защита</t>
        </is>
      </c>
      <c r="G13" s="3" t="inlineStr">
        <is>
          <t>Комплекс: Биоцидная обработка + контроль + мониторинг</t>
        </is>
      </c>
      <c r="H13" s="3" t="n">
        <v>221</v>
      </c>
      <c r="I13" s="3" t="n">
        <v>340</v>
      </c>
      <c r="J13" s="3">
        <f>MAX(I13-H13,0)</f>
        <v/>
      </c>
      <c r="K13" s="3" t="n">
        <v>24.4</v>
      </c>
      <c r="L13" s="3" t="n">
        <v>11500</v>
      </c>
      <c r="M13" s="3">
        <f>J13*K13*L13</f>
        <v/>
      </c>
      <c r="N13" s="3" t="n">
        <v>763500</v>
      </c>
      <c r="O13" s="3" t="n">
        <v>235000</v>
      </c>
      <c r="P13" s="3">
        <f>M13-N13-O13*J13/365</f>
        <v/>
      </c>
      <c r="Q13" s="3">
        <f>IFERROR(M13/(N13+O13*J13/365),0)</f>
        <v/>
      </c>
      <c r="R13" s="3">
        <f>IFERROR(N13/((M13/MAX(1,J13)*365)-O13)*12,0)</f>
        <v/>
      </c>
    </row>
    <row r="14">
      <c r="A14" s="3" t="inlineStr">
        <is>
          <t>EC-TRN-02-C1-A</t>
        </is>
      </c>
      <c r="B14" s="3" t="inlineStr">
        <is>
          <t>TRN-02</t>
        </is>
      </c>
      <c r="C14" s="3" t="inlineStr">
        <is>
          <t>Учебная скважина 02 · Бешкульское учебное / скв. 102 / Батский III пласт</t>
        </is>
      </c>
      <c r="D14" s="4" t="n">
        <v>45425</v>
      </c>
      <c r="E14" s="3" t="n">
        <v>1</v>
      </c>
      <c r="F14" s="3" t="inlineStr">
        <is>
          <t>Повтор метода</t>
        </is>
      </c>
      <c r="G14" s="3" t="inlineStr">
        <is>
          <t>Подбор растворителя и профилактики</t>
        </is>
      </c>
      <c r="H14" s="3" t="n">
        <v>188</v>
      </c>
      <c r="I14" s="3" t="n">
        <v>226</v>
      </c>
      <c r="J14" s="3">
        <f>MAX(I14-H14,0)</f>
        <v/>
      </c>
      <c r="K14" s="3" t="n">
        <v>27.7</v>
      </c>
      <c r="L14" s="3" t="n">
        <v>12800</v>
      </c>
      <c r="M14" s="3">
        <f>J14*K14*L14</f>
        <v/>
      </c>
      <c r="N14" s="3" t="n">
        <v>287000</v>
      </c>
      <c r="O14" s="3" t="n">
        <v>115000</v>
      </c>
      <c r="P14" s="3">
        <f>M14-N14-O14*J14/365</f>
        <v/>
      </c>
      <c r="Q14" s="3">
        <f>IFERROR(M14/(N14+O14*J14/365),0)</f>
        <v/>
      </c>
      <c r="R14" s="3">
        <f>IFERROR(N14/((M14/MAX(1,J14)*365)-O14)*12,0)</f>
        <v/>
      </c>
    </row>
    <row r="15">
      <c r="A15" s="3" t="inlineStr">
        <is>
          <t>EC-TRN-02-C1-B</t>
        </is>
      </c>
      <c r="B15" s="3" t="inlineStr">
        <is>
          <t>TRN-02</t>
        </is>
      </c>
      <c r="C15" s="3" t="inlineStr">
        <is>
          <t>Учебная скважина 02 · Бешкульское учебное / скв. 102 / Батский III пласт</t>
        </is>
      </c>
      <c r="D15" s="4" t="n">
        <v>45425</v>
      </c>
      <c r="E15" s="3" t="n">
        <v>1</v>
      </c>
      <c r="F15" s="3" t="inlineStr">
        <is>
          <t>Новый подбор</t>
        </is>
      </c>
      <c r="G15" s="3" t="inlineStr">
        <is>
          <t>Подбор растворителя и профилактики · лабораторная корректировка</t>
        </is>
      </c>
      <c r="H15" s="3" t="n">
        <v>188</v>
      </c>
      <c r="I15" s="3" t="n">
        <v>256</v>
      </c>
      <c r="J15" s="3">
        <f>MAX(I15-H15,0)</f>
        <v/>
      </c>
      <c r="K15" s="3" t="n">
        <v>27.7</v>
      </c>
      <c r="L15" s="3" t="n">
        <v>12800</v>
      </c>
      <c r="M15" s="3">
        <f>J15*K15*L15</f>
        <v/>
      </c>
      <c r="N15" s="3" t="n">
        <v>527000</v>
      </c>
      <c r="O15" s="3" t="n">
        <v>165000</v>
      </c>
      <c r="P15" s="3">
        <f>M15-N15-O15*J15/365</f>
        <v/>
      </c>
      <c r="Q15" s="3">
        <f>IFERROR(M15/(N15+O15*J15/365),0)</f>
        <v/>
      </c>
      <c r="R15" s="3">
        <f>IFERROR(N15/((M15/MAX(1,J15)*365)-O15)*12,0)</f>
        <v/>
      </c>
    </row>
    <row r="16">
      <c r="A16" s="3" t="inlineStr">
        <is>
          <t>EC-TRN-02-C1-C</t>
        </is>
      </c>
      <c r="B16" s="3" t="inlineStr">
        <is>
          <t>TRN-02</t>
        </is>
      </c>
      <c r="C16" s="3" t="inlineStr">
        <is>
          <t>Учебная скважина 02 · Бешкульское учебное / скв. 102 / Батский III пласт</t>
        </is>
      </c>
      <c r="D16" s="4" t="n">
        <v>45425</v>
      </c>
      <c r="E16" s="3" t="n">
        <v>1</v>
      </c>
      <c r="F16" s="3" t="inlineStr">
        <is>
          <t>Комплексная защита</t>
        </is>
      </c>
      <c r="G16" s="3" t="inlineStr">
        <is>
          <t>Комплекс: Подбор растворителя и профилактики + мониторинг</t>
        </is>
      </c>
      <c r="H16" s="3" t="n">
        <v>188</v>
      </c>
      <c r="I16" s="3" t="n">
        <v>286</v>
      </c>
      <c r="J16" s="3">
        <f>MAX(I16-H16,0)</f>
        <v/>
      </c>
      <c r="K16" s="3" t="n">
        <v>27.7</v>
      </c>
      <c r="L16" s="3" t="n">
        <v>12800</v>
      </c>
      <c r="M16" s="3">
        <f>J16*K16*L16</f>
        <v/>
      </c>
      <c r="N16" s="3" t="n">
        <v>767000</v>
      </c>
      <c r="O16" s="3" t="n">
        <v>235000</v>
      </c>
      <c r="P16" s="3">
        <f>M16-N16-O16*J16/365</f>
        <v/>
      </c>
      <c r="Q16" s="3">
        <f>IFERROR(M16/(N16+O16*J16/365),0)</f>
        <v/>
      </c>
      <c r="R16" s="3">
        <f>IFERROR(N16/((M16/MAX(1,J16)*365)-O16)*12,0)</f>
        <v/>
      </c>
    </row>
    <row r="17">
      <c r="A17" s="3" t="inlineStr">
        <is>
          <t>EC-TRN-02-C2-A</t>
        </is>
      </c>
      <c r="B17" s="3" t="inlineStr">
        <is>
          <t>TRN-02</t>
        </is>
      </c>
      <c r="C17" s="3" t="inlineStr">
        <is>
          <t>Учебная скважина 02 · Бешкульское учебное / скв. 102 / Батский III пласт</t>
        </is>
      </c>
      <c r="D17" s="4" t="n">
        <v>45955</v>
      </c>
      <c r="E17" s="3" t="n">
        <v>2</v>
      </c>
      <c r="F17" s="3" t="inlineStr">
        <is>
          <t>Повтор метода</t>
        </is>
      </c>
      <c r="G17" s="3" t="inlineStr">
        <is>
          <t>Подбор деэмульгатора</t>
        </is>
      </c>
      <c r="H17" s="3" t="n">
        <v>524</v>
      </c>
      <c r="I17" s="3" t="n">
        <v>579</v>
      </c>
      <c r="J17" s="3">
        <f>MAX(I17-H17,0)</f>
        <v/>
      </c>
      <c r="K17" s="3" t="n">
        <v>27.7</v>
      </c>
      <c r="L17" s="3" t="n">
        <v>12800</v>
      </c>
      <c r="M17" s="3">
        <f>J17*K17*L17</f>
        <v/>
      </c>
      <c r="N17" s="3" t="n">
        <v>287000</v>
      </c>
      <c r="O17" s="3" t="n">
        <v>115000</v>
      </c>
      <c r="P17" s="3">
        <f>M17-N17-O17*J17/365</f>
        <v/>
      </c>
      <c r="Q17" s="3">
        <f>IFERROR(M17/(N17+O17*J17/365),0)</f>
        <v/>
      </c>
      <c r="R17" s="3">
        <f>IFERROR(N17/((M17/MAX(1,J17)*365)-O17)*12,0)</f>
        <v/>
      </c>
    </row>
    <row r="18">
      <c r="A18" s="3" t="inlineStr">
        <is>
          <t>EC-TRN-02-C2-B</t>
        </is>
      </c>
      <c r="B18" s="3" t="inlineStr">
        <is>
          <t>TRN-02</t>
        </is>
      </c>
      <c r="C18" s="3" t="inlineStr">
        <is>
          <t>Учебная скважина 02 · Бешкульское учебное / скв. 102 / Батский III пласт</t>
        </is>
      </c>
      <c r="D18" s="4" t="n">
        <v>45955</v>
      </c>
      <c r="E18" s="3" t="n">
        <v>2</v>
      </c>
      <c r="F18" s="3" t="inlineStr">
        <is>
          <t>Новый подбор</t>
        </is>
      </c>
      <c r="G18" s="3" t="inlineStr">
        <is>
          <t>Подбор деэмульгатора · лабораторная корректировка</t>
        </is>
      </c>
      <c r="H18" s="3" t="n">
        <v>524</v>
      </c>
      <c r="I18" s="3" t="n">
        <v>609</v>
      </c>
      <c r="J18" s="3">
        <f>MAX(I18-H18,0)</f>
        <v/>
      </c>
      <c r="K18" s="3" t="n">
        <v>27.7</v>
      </c>
      <c r="L18" s="3" t="n">
        <v>12800</v>
      </c>
      <c r="M18" s="3">
        <f>J18*K18*L18</f>
        <v/>
      </c>
      <c r="N18" s="3" t="n">
        <v>527000</v>
      </c>
      <c r="O18" s="3" t="n">
        <v>165000</v>
      </c>
      <c r="P18" s="3">
        <f>M18-N18-O18*J18/365</f>
        <v/>
      </c>
      <c r="Q18" s="3">
        <f>IFERROR(M18/(N18+O18*J18/365),0)</f>
        <v/>
      </c>
      <c r="R18" s="3">
        <f>IFERROR(N18/((M18/MAX(1,J18)*365)-O18)*12,0)</f>
        <v/>
      </c>
    </row>
    <row r="19">
      <c r="A19" s="3" t="inlineStr">
        <is>
          <t>EC-TRN-02-C2-C</t>
        </is>
      </c>
      <c r="B19" s="3" t="inlineStr">
        <is>
          <t>TRN-02</t>
        </is>
      </c>
      <c r="C19" s="3" t="inlineStr">
        <is>
          <t>Учебная скважина 02 · Бешкульское учебное / скв. 102 / Батский III пласт</t>
        </is>
      </c>
      <c r="D19" s="4" t="n">
        <v>45955</v>
      </c>
      <c r="E19" s="3" t="n">
        <v>2</v>
      </c>
      <c r="F19" s="3" t="inlineStr">
        <is>
          <t>Комплексная защита</t>
        </is>
      </c>
      <c r="G19" s="3" t="inlineStr">
        <is>
          <t>Комплекс: Подбор деэмульгатора + мониторинг</t>
        </is>
      </c>
      <c r="H19" s="3" t="n">
        <v>524</v>
      </c>
      <c r="I19" s="3" t="n">
        <v>639</v>
      </c>
      <c r="J19" s="3">
        <f>MAX(I19-H19,0)</f>
        <v/>
      </c>
      <c r="K19" s="3" t="n">
        <v>27.7</v>
      </c>
      <c r="L19" s="3" t="n">
        <v>12800</v>
      </c>
      <c r="M19" s="3">
        <f>J19*K19*L19</f>
        <v/>
      </c>
      <c r="N19" s="3" t="n">
        <v>767000</v>
      </c>
      <c r="O19" s="3" t="n">
        <v>235000</v>
      </c>
      <c r="P19" s="3">
        <f>M19-N19-O19*J19/365</f>
        <v/>
      </c>
      <c r="Q19" s="3">
        <f>IFERROR(M19/(N19+O19*J19/365),0)</f>
        <v/>
      </c>
      <c r="R19" s="3">
        <f>IFERROR(N19/((M19/MAX(1,J19)*365)-O19)*12,0)</f>
        <v/>
      </c>
    </row>
    <row r="20">
      <c r="A20" s="3" t="inlineStr">
        <is>
          <t>EC-TRN-02-C3-A</t>
        </is>
      </c>
      <c r="B20" s="3" t="inlineStr">
        <is>
          <t>TRN-02</t>
        </is>
      </c>
      <c r="C20" s="3" t="inlineStr">
        <is>
          <t>Учебная скважина 02 · Бешкульское учебное / скв. 102 / Батский III пласт</t>
        </is>
      </c>
      <c r="D20" s="4" t="n">
        <v>46153</v>
      </c>
      <c r="E20" s="3" t="n">
        <v>3</v>
      </c>
      <c r="F20" s="3" t="inlineStr">
        <is>
          <t>Повтор метода</t>
        </is>
      </c>
      <c r="G20" s="3" t="inlineStr">
        <is>
          <t>Повторная корректировка: Ингибитор солеотложений</t>
        </is>
      </c>
      <c r="H20" s="3" t="n">
        <v>191</v>
      </c>
      <c r="I20" s="3" t="n">
        <v>263</v>
      </c>
      <c r="J20" s="3">
        <f>MAX(I20-H20,0)</f>
        <v/>
      </c>
      <c r="K20" s="3" t="n">
        <v>27.7</v>
      </c>
      <c r="L20" s="3" t="n">
        <v>12800</v>
      </c>
      <c r="M20" s="3">
        <f>J20*K20*L20</f>
        <v/>
      </c>
      <c r="N20" s="3" t="n">
        <v>287000</v>
      </c>
      <c r="O20" s="3" t="n">
        <v>115000</v>
      </c>
      <c r="P20" s="3">
        <f>M20-N20-O20*J20/365</f>
        <v/>
      </c>
      <c r="Q20" s="3">
        <f>IFERROR(M20/(N20+O20*J20/365),0)</f>
        <v/>
      </c>
      <c r="R20" s="3">
        <f>IFERROR(N20/((M20/MAX(1,J20)*365)-O20)*12,0)</f>
        <v/>
      </c>
    </row>
    <row r="21">
      <c r="A21" s="3" t="inlineStr">
        <is>
          <t>EC-TRN-02-C3-B</t>
        </is>
      </c>
      <c r="B21" s="3" t="inlineStr">
        <is>
          <t>TRN-02</t>
        </is>
      </c>
      <c r="C21" s="3" t="inlineStr">
        <is>
          <t>Учебная скважина 02 · Бешкульское учебное / скв. 102 / Батский III пласт</t>
        </is>
      </c>
      <c r="D21" s="4" t="n">
        <v>46153</v>
      </c>
      <c r="E21" s="3" t="n">
        <v>3</v>
      </c>
      <c r="F21" s="3" t="inlineStr">
        <is>
          <t>Новый подбор</t>
        </is>
      </c>
      <c r="G21" s="3" t="inlineStr">
        <is>
          <t>Повторная корректировка: Ингибитор солеотложений · лабораторная корректировка</t>
        </is>
      </c>
      <c r="H21" s="3" t="n">
        <v>191</v>
      </c>
      <c r="I21" s="3" t="n">
        <v>293</v>
      </c>
      <c r="J21" s="3">
        <f>MAX(I21-H21,0)</f>
        <v/>
      </c>
      <c r="K21" s="3" t="n">
        <v>27.7</v>
      </c>
      <c r="L21" s="3" t="n">
        <v>12800</v>
      </c>
      <c r="M21" s="3">
        <f>J21*K21*L21</f>
        <v/>
      </c>
      <c r="N21" s="3" t="n">
        <v>527000</v>
      </c>
      <c r="O21" s="3" t="n">
        <v>165000</v>
      </c>
      <c r="P21" s="3">
        <f>M21-N21-O21*J21/365</f>
        <v/>
      </c>
      <c r="Q21" s="3">
        <f>IFERROR(M21/(N21+O21*J21/365),0)</f>
        <v/>
      </c>
      <c r="R21" s="3">
        <f>IFERROR(N21/((M21/MAX(1,J21)*365)-O21)*12,0)</f>
        <v/>
      </c>
    </row>
    <row r="22">
      <c r="A22" s="3" t="inlineStr">
        <is>
          <t>EC-TRN-02-C3-C</t>
        </is>
      </c>
      <c r="B22" s="3" t="inlineStr">
        <is>
          <t>TRN-02</t>
        </is>
      </c>
      <c r="C22" s="3" t="inlineStr">
        <is>
          <t>Учебная скважина 02 · Бешкульское учебное / скв. 102 / Батский III пласт</t>
        </is>
      </c>
      <c r="D22" s="4" t="n">
        <v>46153</v>
      </c>
      <c r="E22" s="3" t="n">
        <v>3</v>
      </c>
      <c r="F22" s="3" t="inlineStr">
        <is>
          <t>Комплексная защита</t>
        </is>
      </c>
      <c r="G22" s="3" t="inlineStr">
        <is>
          <t>Комплекс: Повторная корректировка: Ингибитор солеотложений + мониторинг</t>
        </is>
      </c>
      <c r="H22" s="3" t="n">
        <v>191</v>
      </c>
      <c r="I22" s="3" t="n">
        <v>323</v>
      </c>
      <c r="J22" s="3">
        <f>MAX(I22-H22,0)</f>
        <v/>
      </c>
      <c r="K22" s="3" t="n">
        <v>27.7</v>
      </c>
      <c r="L22" s="3" t="n">
        <v>12800</v>
      </c>
      <c r="M22" s="3">
        <f>J22*K22*L22</f>
        <v/>
      </c>
      <c r="N22" s="3" t="n">
        <v>767000</v>
      </c>
      <c r="O22" s="3" t="n">
        <v>235000</v>
      </c>
      <c r="P22" s="3">
        <f>M22-N22-O22*J22/365</f>
        <v/>
      </c>
      <c r="Q22" s="3">
        <f>IFERROR(M22/(N22+O22*J22/365),0)</f>
        <v/>
      </c>
      <c r="R22" s="3">
        <f>IFERROR(N22/((M22/MAX(1,J22)*365)-O22)*12,0)</f>
        <v/>
      </c>
    </row>
    <row r="23">
      <c r="A23" s="3" t="inlineStr">
        <is>
          <t>EC-TRN-03-C1-A</t>
        </is>
      </c>
      <c r="B23" s="3" t="inlineStr">
        <is>
          <t>TRN-03</t>
        </is>
      </c>
      <c r="C23" s="3" t="inlineStr">
        <is>
          <t>Учебная скважина 03 · Северное учебное / скв. 103 / Песчаный горизонт</t>
        </is>
      </c>
      <c r="D23" s="4" t="n">
        <v>45525</v>
      </c>
      <c r="E23" s="3" t="n">
        <v>1</v>
      </c>
      <c r="F23" s="3" t="inlineStr">
        <is>
          <t>Повтор метода</t>
        </is>
      </c>
      <c r="G23" s="3" t="inlineStr">
        <is>
          <t>Подбор газосепаратора</t>
        </is>
      </c>
      <c r="H23" s="3" t="n">
        <v>286</v>
      </c>
      <c r="I23" s="3" t="n">
        <v>337</v>
      </c>
      <c r="J23" s="3">
        <f>MAX(I23-H23,0)</f>
        <v/>
      </c>
      <c r="K23" s="3" t="n">
        <v>27.4</v>
      </c>
      <c r="L23" s="3" t="n">
        <v>10400</v>
      </c>
      <c r="M23" s="3">
        <f>J23*K23*L23</f>
        <v/>
      </c>
      <c r="N23" s="3" t="n">
        <v>290500</v>
      </c>
      <c r="O23" s="3" t="n">
        <v>115000</v>
      </c>
      <c r="P23" s="3">
        <f>M23-N23-O23*J23/365</f>
        <v/>
      </c>
      <c r="Q23" s="3">
        <f>IFERROR(M23/(N23+O23*J23/365),0)</f>
        <v/>
      </c>
      <c r="R23" s="3">
        <f>IFERROR(N23/((M23/MAX(1,J23)*365)-O23)*12,0)</f>
        <v/>
      </c>
    </row>
    <row r="24">
      <c r="A24" s="3" t="inlineStr">
        <is>
          <t>EC-TRN-03-C1-B</t>
        </is>
      </c>
      <c r="B24" s="3" t="inlineStr">
        <is>
          <t>TRN-03</t>
        </is>
      </c>
      <c r="C24" s="3" t="inlineStr">
        <is>
          <t>Учебная скважина 03 · Северное учебное / скв. 103 / Песчаный горизонт</t>
        </is>
      </c>
      <c r="D24" s="4" t="n">
        <v>45525</v>
      </c>
      <c r="E24" s="3" t="n">
        <v>1</v>
      </c>
      <c r="F24" s="3" t="inlineStr">
        <is>
          <t>Новый подбор</t>
        </is>
      </c>
      <c r="G24" s="3" t="inlineStr">
        <is>
          <t>Подбор газосепаратора · лабораторная корректировка</t>
        </is>
      </c>
      <c r="H24" s="3" t="n">
        <v>286</v>
      </c>
      <c r="I24" s="3" t="n">
        <v>367</v>
      </c>
      <c r="J24" s="3">
        <f>MAX(I24-H24,0)</f>
        <v/>
      </c>
      <c r="K24" s="3" t="n">
        <v>27.4</v>
      </c>
      <c r="L24" s="3" t="n">
        <v>10400</v>
      </c>
      <c r="M24" s="3">
        <f>J24*K24*L24</f>
        <v/>
      </c>
      <c r="N24" s="3" t="n">
        <v>530500</v>
      </c>
      <c r="O24" s="3" t="n">
        <v>165000</v>
      </c>
      <c r="P24" s="3">
        <f>M24-N24-O24*J24/365</f>
        <v/>
      </c>
      <c r="Q24" s="3">
        <f>IFERROR(M24/(N24+O24*J24/365),0)</f>
        <v/>
      </c>
      <c r="R24" s="3">
        <f>IFERROR(N24/((M24/MAX(1,J24)*365)-O24)*12,0)</f>
        <v/>
      </c>
    </row>
    <row r="25">
      <c r="A25" s="3" t="inlineStr">
        <is>
          <t>EC-TRN-03-C1-C</t>
        </is>
      </c>
      <c r="B25" s="3" t="inlineStr">
        <is>
          <t>TRN-03</t>
        </is>
      </c>
      <c r="C25" s="3" t="inlineStr">
        <is>
          <t>Учебная скважина 03 · Северное учебное / скв. 103 / Песчаный горизонт</t>
        </is>
      </c>
      <c r="D25" s="4" t="n">
        <v>45525</v>
      </c>
      <c r="E25" s="3" t="n">
        <v>1</v>
      </c>
      <c r="F25" s="3" t="inlineStr">
        <is>
          <t>Комплексная защита</t>
        </is>
      </c>
      <c r="G25" s="3" t="inlineStr">
        <is>
          <t>Комплекс: Подбор газосепаратора + мониторинг</t>
        </is>
      </c>
      <c r="H25" s="3" t="n">
        <v>286</v>
      </c>
      <c r="I25" s="3" t="n">
        <v>397</v>
      </c>
      <c r="J25" s="3">
        <f>MAX(I25-H25,0)</f>
        <v/>
      </c>
      <c r="K25" s="3" t="n">
        <v>27.4</v>
      </c>
      <c r="L25" s="3" t="n">
        <v>10400</v>
      </c>
      <c r="M25" s="3">
        <f>J25*K25*L25</f>
        <v/>
      </c>
      <c r="N25" s="3" t="n">
        <v>770500</v>
      </c>
      <c r="O25" s="3" t="n">
        <v>235000</v>
      </c>
      <c r="P25" s="3">
        <f>M25-N25-O25*J25/365</f>
        <v/>
      </c>
      <c r="Q25" s="3">
        <f>IFERROR(M25/(N25+O25*J25/365),0)</f>
        <v/>
      </c>
      <c r="R25" s="3">
        <f>IFERROR(N25/((M25/MAX(1,J25)*365)-O25)*12,0)</f>
        <v/>
      </c>
    </row>
    <row r="26">
      <c r="A26" s="3" t="inlineStr">
        <is>
          <t>EC-TRN-03-C2-A</t>
        </is>
      </c>
      <c r="B26" s="3" t="inlineStr">
        <is>
          <t>TRN-03</t>
        </is>
      </c>
      <c r="C26" s="3" t="inlineStr">
        <is>
          <t>Учебная скважина 03 · Северное учебное / скв. 103 / Песчаный горизонт</t>
        </is>
      </c>
      <c r="D26" s="4" t="n">
        <v>45749</v>
      </c>
      <c r="E26" s="3" t="n">
        <v>2</v>
      </c>
      <c r="F26" s="3" t="inlineStr">
        <is>
          <t>Повтор метода</t>
        </is>
      </c>
      <c r="G26" s="3" t="inlineStr">
        <is>
          <t>Тепловой режим + ингибитор гидратов</t>
        </is>
      </c>
      <c r="H26" s="3" t="n">
        <v>217</v>
      </c>
      <c r="I26" s="3" t="n">
        <v>285</v>
      </c>
      <c r="J26" s="3">
        <f>MAX(I26-H26,0)</f>
        <v/>
      </c>
      <c r="K26" s="3" t="n">
        <v>27.4</v>
      </c>
      <c r="L26" s="3" t="n">
        <v>10400</v>
      </c>
      <c r="M26" s="3">
        <f>J26*K26*L26</f>
        <v/>
      </c>
      <c r="N26" s="3" t="n">
        <v>290500</v>
      </c>
      <c r="O26" s="3" t="n">
        <v>115000</v>
      </c>
      <c r="P26" s="3">
        <f>M26-N26-O26*J26/365</f>
        <v/>
      </c>
      <c r="Q26" s="3">
        <f>IFERROR(M26/(N26+O26*J26/365),0)</f>
        <v/>
      </c>
      <c r="R26" s="3">
        <f>IFERROR(N26/((M26/MAX(1,J26)*365)-O26)*12,0)</f>
        <v/>
      </c>
    </row>
    <row r="27">
      <c r="A27" s="3" t="inlineStr">
        <is>
          <t>EC-TRN-03-C2-B</t>
        </is>
      </c>
      <c r="B27" s="3" t="inlineStr">
        <is>
          <t>TRN-03</t>
        </is>
      </c>
      <c r="C27" s="3" t="inlineStr">
        <is>
          <t>Учебная скважина 03 · Северное учебное / скв. 103 / Песчаный горизонт</t>
        </is>
      </c>
      <c r="D27" s="4" t="n">
        <v>45749</v>
      </c>
      <c r="E27" s="3" t="n">
        <v>2</v>
      </c>
      <c r="F27" s="3" t="inlineStr">
        <is>
          <t>Новый подбор</t>
        </is>
      </c>
      <c r="G27" s="3" t="inlineStr">
        <is>
          <t>Тепловой режим + ингибитор гидратов · лабораторная корректировка</t>
        </is>
      </c>
      <c r="H27" s="3" t="n">
        <v>217</v>
      </c>
      <c r="I27" s="3" t="n">
        <v>315</v>
      </c>
      <c r="J27" s="3">
        <f>MAX(I27-H27,0)</f>
        <v/>
      </c>
      <c r="K27" s="3" t="n">
        <v>27.4</v>
      </c>
      <c r="L27" s="3" t="n">
        <v>10400</v>
      </c>
      <c r="M27" s="3">
        <f>J27*K27*L27</f>
        <v/>
      </c>
      <c r="N27" s="3" t="n">
        <v>530500</v>
      </c>
      <c r="O27" s="3" t="n">
        <v>165000</v>
      </c>
      <c r="P27" s="3">
        <f>M27-N27-O27*J27/365</f>
        <v/>
      </c>
      <c r="Q27" s="3">
        <f>IFERROR(M27/(N27+O27*J27/365),0)</f>
        <v/>
      </c>
      <c r="R27" s="3">
        <f>IFERROR(N27/((M27/MAX(1,J27)*365)-O27)*12,0)</f>
        <v/>
      </c>
    </row>
    <row r="28">
      <c r="A28" s="3" t="inlineStr">
        <is>
          <t>EC-TRN-03-C2-C</t>
        </is>
      </c>
      <c r="B28" s="3" t="inlineStr">
        <is>
          <t>TRN-03</t>
        </is>
      </c>
      <c r="C28" s="3" t="inlineStr">
        <is>
          <t>Учебная скважина 03 · Северное учебное / скв. 103 / Песчаный горизонт</t>
        </is>
      </c>
      <c r="D28" s="4" t="n">
        <v>45749</v>
      </c>
      <c r="E28" s="3" t="n">
        <v>2</v>
      </c>
      <c r="F28" s="3" t="inlineStr">
        <is>
          <t>Комплексная защита</t>
        </is>
      </c>
      <c r="G28" s="3" t="inlineStr">
        <is>
          <t>Комплекс: Тепловой режим + ингибитор гидратов + мониторинг</t>
        </is>
      </c>
      <c r="H28" s="3" t="n">
        <v>217</v>
      </c>
      <c r="I28" s="3" t="n">
        <v>345</v>
      </c>
      <c r="J28" s="3">
        <f>MAX(I28-H28,0)</f>
        <v/>
      </c>
      <c r="K28" s="3" t="n">
        <v>27.4</v>
      </c>
      <c r="L28" s="3" t="n">
        <v>10400</v>
      </c>
      <c r="M28" s="3">
        <f>J28*K28*L28</f>
        <v/>
      </c>
      <c r="N28" s="3" t="n">
        <v>770500</v>
      </c>
      <c r="O28" s="3" t="n">
        <v>235000</v>
      </c>
      <c r="P28" s="3">
        <f>M28-N28-O28*J28/365</f>
        <v/>
      </c>
      <c r="Q28" s="3">
        <f>IFERROR(M28/(N28+O28*J28/365),0)</f>
        <v/>
      </c>
      <c r="R28" s="3">
        <f>IFERROR(N28/((M28/MAX(1,J28)*365)-O28)*12,0)</f>
        <v/>
      </c>
    </row>
    <row r="29">
      <c r="A29" s="3" t="inlineStr">
        <is>
          <t>EC-TRN-03-C3-A</t>
        </is>
      </c>
      <c r="B29" s="3" t="inlineStr">
        <is>
          <t>TRN-03</t>
        </is>
      </c>
      <c r="C29" s="3" t="inlineStr">
        <is>
          <t>Учебная скважина 03 · Северное учебное / скв. 103 / Песчаный горизонт</t>
        </is>
      </c>
      <c r="D29" s="4" t="n">
        <v>46253</v>
      </c>
      <c r="E29" s="3" t="n">
        <v>3</v>
      </c>
      <c r="F29" s="3" t="inlineStr">
        <is>
          <t>Повтор метода</t>
        </is>
      </c>
      <c r="G29" s="3" t="inlineStr">
        <is>
          <t>Повторная корректировка: Подбор растворителя и профилактики</t>
        </is>
      </c>
      <c r="H29" s="3" t="n">
        <v>496</v>
      </c>
      <c r="I29" s="3" t="n">
        <v>526</v>
      </c>
      <c r="J29" s="3">
        <f>MAX(I29-H29,0)</f>
        <v/>
      </c>
      <c r="K29" s="3" t="n">
        <v>27.4</v>
      </c>
      <c r="L29" s="3" t="n">
        <v>10400</v>
      </c>
      <c r="M29" s="3">
        <f>J29*K29*L29</f>
        <v/>
      </c>
      <c r="N29" s="3" t="n">
        <v>290500</v>
      </c>
      <c r="O29" s="3" t="n">
        <v>115000</v>
      </c>
      <c r="P29" s="3">
        <f>M29-N29-O29*J29/365</f>
        <v/>
      </c>
      <c r="Q29" s="3">
        <f>IFERROR(M29/(N29+O29*J29/365),0)</f>
        <v/>
      </c>
      <c r="R29" s="3">
        <f>IFERROR(N29/((M29/MAX(1,J29)*365)-O29)*12,0)</f>
        <v/>
      </c>
    </row>
    <row r="30">
      <c r="A30" s="3" t="inlineStr">
        <is>
          <t>EC-TRN-03-C3-B</t>
        </is>
      </c>
      <c r="B30" s="3" t="inlineStr">
        <is>
          <t>TRN-03</t>
        </is>
      </c>
      <c r="C30" s="3" t="inlineStr">
        <is>
          <t>Учебная скважина 03 · Северное учебное / скв. 103 / Песчаный горизонт</t>
        </is>
      </c>
      <c r="D30" s="4" t="n">
        <v>46253</v>
      </c>
      <c r="E30" s="3" t="n">
        <v>3</v>
      </c>
      <c r="F30" s="3" t="inlineStr">
        <is>
          <t>Новый подбор</t>
        </is>
      </c>
      <c r="G30" s="3" t="inlineStr">
        <is>
          <t>Повторная корректировка: Подбор растворителя и профилактики · лабораторная корректировка</t>
        </is>
      </c>
      <c r="H30" s="3" t="n">
        <v>496</v>
      </c>
      <c r="I30" s="3" t="n">
        <v>556</v>
      </c>
      <c r="J30" s="3">
        <f>MAX(I30-H30,0)</f>
        <v/>
      </c>
      <c r="K30" s="3" t="n">
        <v>27.4</v>
      </c>
      <c r="L30" s="3" t="n">
        <v>10400</v>
      </c>
      <c r="M30" s="3">
        <f>J30*K30*L30</f>
        <v/>
      </c>
      <c r="N30" s="3" t="n">
        <v>530500</v>
      </c>
      <c r="O30" s="3" t="n">
        <v>165000</v>
      </c>
      <c r="P30" s="3">
        <f>M30-N30-O30*J30/365</f>
        <v/>
      </c>
      <c r="Q30" s="3">
        <f>IFERROR(M30/(N30+O30*J30/365),0)</f>
        <v/>
      </c>
      <c r="R30" s="3">
        <f>IFERROR(N30/((M30/MAX(1,J30)*365)-O30)*12,0)</f>
        <v/>
      </c>
    </row>
    <row r="31">
      <c r="A31" s="3" t="inlineStr">
        <is>
          <t>EC-TRN-03-C3-C</t>
        </is>
      </c>
      <c r="B31" s="3" t="inlineStr">
        <is>
          <t>TRN-03</t>
        </is>
      </c>
      <c r="C31" s="3" t="inlineStr">
        <is>
          <t>Учебная скважина 03 · Северное учебное / скв. 103 / Песчаный горизонт</t>
        </is>
      </c>
      <c r="D31" s="4" t="n">
        <v>46253</v>
      </c>
      <c r="E31" s="3" t="n">
        <v>3</v>
      </c>
      <c r="F31" s="3" t="inlineStr">
        <is>
          <t>Комплексная защита</t>
        </is>
      </c>
      <c r="G31" s="3" t="inlineStr">
        <is>
          <t>Комплекс: Повторная корректировка: Подбор растворителя и профилактики + мониторинг</t>
        </is>
      </c>
      <c r="H31" s="3" t="n">
        <v>496</v>
      </c>
      <c r="I31" s="3" t="n">
        <v>586</v>
      </c>
      <c r="J31" s="3">
        <f>MAX(I31-H31,0)</f>
        <v/>
      </c>
      <c r="K31" s="3" t="n">
        <v>27.4</v>
      </c>
      <c r="L31" s="3" t="n">
        <v>10400</v>
      </c>
      <c r="M31" s="3">
        <f>J31*K31*L31</f>
        <v/>
      </c>
      <c r="N31" s="3" t="n">
        <v>770500</v>
      </c>
      <c r="O31" s="3" t="n">
        <v>235000</v>
      </c>
      <c r="P31" s="3">
        <f>M31-N31-O31*J31/365</f>
        <v/>
      </c>
      <c r="Q31" s="3">
        <f>IFERROR(M31/(N31+O31*J31/365),0)</f>
        <v/>
      </c>
      <c r="R31" s="3">
        <f>IFERROR(N31/((M31/MAX(1,J31)*365)-O31)*12,0)</f>
        <v/>
      </c>
    </row>
    <row r="32">
      <c r="A32" s="3" t="inlineStr">
        <is>
          <t>EC-TRN-04-C1-A</t>
        </is>
      </c>
      <c r="B32" s="3" t="inlineStr">
        <is>
          <t>TRN-04</t>
        </is>
      </c>
      <c r="C32" s="3" t="inlineStr">
        <is>
          <t>Учебная скважина 04 · Южное учебное / скв. 104 / Турнейский горизонт</t>
        </is>
      </c>
      <c r="D32" s="4" t="n">
        <v>45625</v>
      </c>
      <c r="E32" s="3" t="n">
        <v>1</v>
      </c>
      <c r="F32" s="3" t="inlineStr">
        <is>
          <t>Повтор метода</t>
        </is>
      </c>
      <c r="G32" s="3" t="inlineStr">
        <is>
          <t>Фильтрация и контроль фракций</t>
        </is>
      </c>
      <c r="H32" s="3" t="n">
        <v>384</v>
      </c>
      <c r="I32" s="3" t="n">
        <v>448</v>
      </c>
      <c r="J32" s="3">
        <f>MAX(I32-H32,0)</f>
        <v/>
      </c>
      <c r="K32" s="3" t="n">
        <v>23.2</v>
      </c>
      <c r="L32" s="3" t="n">
        <v>12100</v>
      </c>
      <c r="M32" s="3">
        <f>J32*K32*L32</f>
        <v/>
      </c>
      <c r="N32" s="3" t="n">
        <v>294000</v>
      </c>
      <c r="O32" s="3" t="n">
        <v>115000</v>
      </c>
      <c r="P32" s="3">
        <f>M32-N32-O32*J32/365</f>
        <v/>
      </c>
      <c r="Q32" s="3">
        <f>IFERROR(M32/(N32+O32*J32/365),0)</f>
        <v/>
      </c>
      <c r="R32" s="3">
        <f>IFERROR(N32/((M32/MAX(1,J32)*365)-O32)*12,0)</f>
        <v/>
      </c>
    </row>
    <row r="33">
      <c r="A33" s="3" t="inlineStr">
        <is>
          <t>EC-TRN-04-C1-B</t>
        </is>
      </c>
      <c r="B33" s="3" t="inlineStr">
        <is>
          <t>TRN-04</t>
        </is>
      </c>
      <c r="C33" s="3" t="inlineStr">
        <is>
          <t>Учебная скважина 04 · Южное учебное / скв. 104 / Турнейский горизонт</t>
        </is>
      </c>
      <c r="D33" s="4" t="n">
        <v>45625</v>
      </c>
      <c r="E33" s="3" t="n">
        <v>1</v>
      </c>
      <c r="F33" s="3" t="inlineStr">
        <is>
          <t>Новый подбор</t>
        </is>
      </c>
      <c r="G33" s="3" t="inlineStr">
        <is>
          <t>Фильтрация и контроль фракций · лабораторная корректировка</t>
        </is>
      </c>
      <c r="H33" s="3" t="n">
        <v>384</v>
      </c>
      <c r="I33" s="3" t="n">
        <v>478</v>
      </c>
      <c r="J33" s="3">
        <f>MAX(I33-H33,0)</f>
        <v/>
      </c>
      <c r="K33" s="3" t="n">
        <v>23.2</v>
      </c>
      <c r="L33" s="3" t="n">
        <v>12100</v>
      </c>
      <c r="M33" s="3">
        <f>J33*K33*L33</f>
        <v/>
      </c>
      <c r="N33" s="3" t="n">
        <v>534000</v>
      </c>
      <c r="O33" s="3" t="n">
        <v>165000</v>
      </c>
      <c r="P33" s="3">
        <f>M33-N33-O33*J33/365</f>
        <v/>
      </c>
      <c r="Q33" s="3">
        <f>IFERROR(M33/(N33+O33*J33/365),0)</f>
        <v/>
      </c>
      <c r="R33" s="3">
        <f>IFERROR(N33/((M33/MAX(1,J33)*365)-O33)*12,0)</f>
        <v/>
      </c>
    </row>
    <row r="34">
      <c r="A34" s="3" t="inlineStr">
        <is>
          <t>EC-TRN-04-C1-C</t>
        </is>
      </c>
      <c r="B34" s="3" t="inlineStr">
        <is>
          <t>TRN-04</t>
        </is>
      </c>
      <c r="C34" s="3" t="inlineStr">
        <is>
          <t>Учебная скважина 04 · Южное учебное / скв. 104 / Турнейский горизонт</t>
        </is>
      </c>
      <c r="D34" s="4" t="n">
        <v>45625</v>
      </c>
      <c r="E34" s="3" t="n">
        <v>1</v>
      </c>
      <c r="F34" s="3" t="inlineStr">
        <is>
          <t>Комплексная защита</t>
        </is>
      </c>
      <c r="G34" s="3" t="inlineStr">
        <is>
          <t>Комплекс: Фильтрация и контроль фракций + мониторинг</t>
        </is>
      </c>
      <c r="H34" s="3" t="n">
        <v>384</v>
      </c>
      <c r="I34" s="3" t="n">
        <v>508</v>
      </c>
      <c r="J34" s="3">
        <f>MAX(I34-H34,0)</f>
        <v/>
      </c>
      <c r="K34" s="3" t="n">
        <v>23.2</v>
      </c>
      <c r="L34" s="3" t="n">
        <v>12100</v>
      </c>
      <c r="M34" s="3">
        <f>J34*K34*L34</f>
        <v/>
      </c>
      <c r="N34" s="3" t="n">
        <v>774000</v>
      </c>
      <c r="O34" s="3" t="n">
        <v>235000</v>
      </c>
      <c r="P34" s="3">
        <f>M34-N34-O34*J34/365</f>
        <v/>
      </c>
      <c r="Q34" s="3">
        <f>IFERROR(M34/(N34+O34*J34/365),0)</f>
        <v/>
      </c>
      <c r="R34" s="3">
        <f>IFERROR(N34/((M34/MAX(1,J34)*365)-O34)*12,0)</f>
        <v/>
      </c>
    </row>
    <row r="35">
      <c r="A35" s="3" t="inlineStr">
        <is>
          <t>EC-TRN-04-C2-A</t>
        </is>
      </c>
      <c r="B35" s="3" t="inlineStr">
        <is>
          <t>TRN-04</t>
        </is>
      </c>
      <c r="C35" s="3" t="inlineStr">
        <is>
          <t>Учебная скважина 04 · Южное учебное / скв. 104 / Турнейский горизонт</t>
        </is>
      </c>
      <c r="D35" s="4" t="n">
        <v>45823</v>
      </c>
      <c r="E35" s="3" t="n">
        <v>2</v>
      </c>
      <c r="F35" s="3" t="inlineStr">
        <is>
          <t>Повтор метода</t>
        </is>
      </c>
      <c r="G35" s="3" t="inlineStr">
        <is>
          <t>Повторная корректировка: Биоцидная обработка + контроль</t>
        </is>
      </c>
      <c r="H35" s="3" t="n">
        <v>190</v>
      </c>
      <c r="I35" s="3" t="n">
        <v>216</v>
      </c>
      <c r="J35" s="3">
        <f>MAX(I35-H35,0)</f>
        <v/>
      </c>
      <c r="K35" s="3" t="n">
        <v>23.2</v>
      </c>
      <c r="L35" s="3" t="n">
        <v>12100</v>
      </c>
      <c r="M35" s="3">
        <f>J35*K35*L35</f>
        <v/>
      </c>
      <c r="N35" s="3" t="n">
        <v>294000</v>
      </c>
      <c r="O35" s="3" t="n">
        <v>115000</v>
      </c>
      <c r="P35" s="3">
        <f>M35-N35-O35*J35/365</f>
        <v/>
      </c>
      <c r="Q35" s="3">
        <f>IFERROR(M35/(N35+O35*J35/365),0)</f>
        <v/>
      </c>
      <c r="R35" s="3">
        <f>IFERROR(N35/((M35/MAX(1,J35)*365)-O35)*12,0)</f>
        <v/>
      </c>
    </row>
    <row r="36">
      <c r="A36" s="3" t="inlineStr">
        <is>
          <t>EC-TRN-04-C2-B</t>
        </is>
      </c>
      <c r="B36" s="3" t="inlineStr">
        <is>
          <t>TRN-04</t>
        </is>
      </c>
      <c r="C36" s="3" t="inlineStr">
        <is>
          <t>Учебная скважина 04 · Южное учебное / скв. 104 / Турнейский горизонт</t>
        </is>
      </c>
      <c r="D36" s="4" t="n">
        <v>45823</v>
      </c>
      <c r="E36" s="3" t="n">
        <v>2</v>
      </c>
      <c r="F36" s="3" t="inlineStr">
        <is>
          <t>Новый подбор</t>
        </is>
      </c>
      <c r="G36" s="3" t="inlineStr">
        <is>
          <t>Повторная корректировка: Биоцидная обработка + контроль · лабораторная корректировка</t>
        </is>
      </c>
      <c r="H36" s="3" t="n">
        <v>190</v>
      </c>
      <c r="I36" s="3" t="n">
        <v>246</v>
      </c>
      <c r="J36" s="3">
        <f>MAX(I36-H36,0)</f>
        <v/>
      </c>
      <c r="K36" s="3" t="n">
        <v>23.2</v>
      </c>
      <c r="L36" s="3" t="n">
        <v>12100</v>
      </c>
      <c r="M36" s="3">
        <f>J36*K36*L36</f>
        <v/>
      </c>
      <c r="N36" s="3" t="n">
        <v>534000</v>
      </c>
      <c r="O36" s="3" t="n">
        <v>165000</v>
      </c>
      <c r="P36" s="3">
        <f>M36-N36-O36*J36/365</f>
        <v/>
      </c>
      <c r="Q36" s="3">
        <f>IFERROR(M36/(N36+O36*J36/365),0)</f>
        <v/>
      </c>
      <c r="R36" s="3">
        <f>IFERROR(N36/((M36/MAX(1,J36)*365)-O36)*12,0)</f>
        <v/>
      </c>
    </row>
    <row r="37">
      <c r="A37" s="3" t="inlineStr">
        <is>
          <t>EC-TRN-04-C2-C</t>
        </is>
      </c>
      <c r="B37" s="3" t="inlineStr">
        <is>
          <t>TRN-04</t>
        </is>
      </c>
      <c r="C37" s="3" t="inlineStr">
        <is>
          <t>Учебная скважина 04 · Южное учебное / скв. 104 / Турнейский горизонт</t>
        </is>
      </c>
      <c r="D37" s="4" t="n">
        <v>45823</v>
      </c>
      <c r="E37" s="3" t="n">
        <v>2</v>
      </c>
      <c r="F37" s="3" t="inlineStr">
        <is>
          <t>Комплексная защита</t>
        </is>
      </c>
      <c r="G37" s="3" t="inlineStr">
        <is>
          <t>Комплекс: Повторная корректировка: Биоцидная обработка + контроль + мониторинг</t>
        </is>
      </c>
      <c r="H37" s="3" t="n">
        <v>190</v>
      </c>
      <c r="I37" s="3" t="n">
        <v>276</v>
      </c>
      <c r="J37" s="3">
        <f>MAX(I37-H37,0)</f>
        <v/>
      </c>
      <c r="K37" s="3" t="n">
        <v>23.2</v>
      </c>
      <c r="L37" s="3" t="n">
        <v>12100</v>
      </c>
      <c r="M37" s="3">
        <f>J37*K37*L37</f>
        <v/>
      </c>
      <c r="N37" s="3" t="n">
        <v>774000</v>
      </c>
      <c r="O37" s="3" t="n">
        <v>235000</v>
      </c>
      <c r="P37" s="3">
        <f>M37-N37-O37*J37/365</f>
        <v/>
      </c>
      <c r="Q37" s="3">
        <f>IFERROR(M37/(N37+O37*J37/365),0)</f>
        <v/>
      </c>
      <c r="R37" s="3">
        <f>IFERROR(N37/((M37/MAX(1,J37)*365)-O37)*12,0)</f>
        <v/>
      </c>
    </row>
    <row r="38">
      <c r="A38" s="3" t="inlineStr">
        <is>
          <t>EC-TRN-04-C3-A</t>
        </is>
      </c>
      <c r="B38" s="3" t="inlineStr">
        <is>
          <t>TRN-04</t>
        </is>
      </c>
      <c r="C38" s="3" t="inlineStr">
        <is>
          <t>Учебная скважина 04 · Южное учебное / скв. 104 / Турнейский горизонт</t>
        </is>
      </c>
      <c r="D38" s="4" t="n">
        <v>46303</v>
      </c>
      <c r="E38" s="3" t="n">
        <v>3</v>
      </c>
      <c r="F38" s="3" t="inlineStr">
        <is>
          <t>Повтор метода</t>
        </is>
      </c>
      <c r="G38" s="3" t="inlineStr">
        <is>
          <t>Ингибитор коррозии + контроль остатка</t>
        </is>
      </c>
      <c r="H38" s="3" t="n">
        <v>480</v>
      </c>
      <c r="I38" s="3" t="n">
        <v>523</v>
      </c>
      <c r="J38" s="3">
        <f>MAX(I38-H38,0)</f>
        <v/>
      </c>
      <c r="K38" s="3" t="n">
        <v>23.2</v>
      </c>
      <c r="L38" s="3" t="n">
        <v>12100</v>
      </c>
      <c r="M38" s="3">
        <f>J38*K38*L38</f>
        <v/>
      </c>
      <c r="N38" s="3" t="n">
        <v>294000</v>
      </c>
      <c r="O38" s="3" t="n">
        <v>115000</v>
      </c>
      <c r="P38" s="3">
        <f>M38-N38-O38*J38/365</f>
        <v/>
      </c>
      <c r="Q38" s="3">
        <f>IFERROR(M38/(N38+O38*J38/365),0)</f>
        <v/>
      </c>
      <c r="R38" s="3">
        <f>IFERROR(N38/((M38/MAX(1,J38)*365)-O38)*12,0)</f>
        <v/>
      </c>
    </row>
    <row r="39">
      <c r="A39" s="3" t="inlineStr">
        <is>
          <t>EC-TRN-04-C3-B</t>
        </is>
      </c>
      <c r="B39" s="3" t="inlineStr">
        <is>
          <t>TRN-04</t>
        </is>
      </c>
      <c r="C39" s="3" t="inlineStr">
        <is>
          <t>Учебная скважина 04 · Южное учебное / скв. 104 / Турнейский горизонт</t>
        </is>
      </c>
      <c r="D39" s="4" t="n">
        <v>46303</v>
      </c>
      <c r="E39" s="3" t="n">
        <v>3</v>
      </c>
      <c r="F39" s="3" t="inlineStr">
        <is>
          <t>Новый подбор</t>
        </is>
      </c>
      <c r="G39" s="3" t="inlineStr">
        <is>
          <t>Ингибитор коррозии + контроль остатка · лабораторная корректировка</t>
        </is>
      </c>
      <c r="H39" s="3" t="n">
        <v>480</v>
      </c>
      <c r="I39" s="3" t="n">
        <v>553</v>
      </c>
      <c r="J39" s="3">
        <f>MAX(I39-H39,0)</f>
        <v/>
      </c>
      <c r="K39" s="3" t="n">
        <v>23.2</v>
      </c>
      <c r="L39" s="3" t="n">
        <v>12100</v>
      </c>
      <c r="M39" s="3">
        <f>J39*K39*L39</f>
        <v/>
      </c>
      <c r="N39" s="3" t="n">
        <v>534000</v>
      </c>
      <c r="O39" s="3" t="n">
        <v>165000</v>
      </c>
      <c r="P39" s="3">
        <f>M39-N39-O39*J39/365</f>
        <v/>
      </c>
      <c r="Q39" s="3">
        <f>IFERROR(M39/(N39+O39*J39/365),0)</f>
        <v/>
      </c>
      <c r="R39" s="3">
        <f>IFERROR(N39/((M39/MAX(1,J39)*365)-O39)*12,0)</f>
        <v/>
      </c>
    </row>
    <row r="40">
      <c r="A40" s="3" t="inlineStr">
        <is>
          <t>EC-TRN-04-C3-C</t>
        </is>
      </c>
      <c r="B40" s="3" t="inlineStr">
        <is>
          <t>TRN-04</t>
        </is>
      </c>
      <c r="C40" s="3" t="inlineStr">
        <is>
          <t>Учебная скважина 04 · Южное учебное / скв. 104 / Турнейский горизонт</t>
        </is>
      </c>
      <c r="D40" s="4" t="n">
        <v>46303</v>
      </c>
      <c r="E40" s="3" t="n">
        <v>3</v>
      </c>
      <c r="F40" s="3" t="inlineStr">
        <is>
          <t>Комплексная защита</t>
        </is>
      </c>
      <c r="G40" s="3" t="inlineStr">
        <is>
          <t>Комплекс: Ингибитор коррозии + контроль остатка + мониторинг</t>
        </is>
      </c>
      <c r="H40" s="3" t="n">
        <v>480</v>
      </c>
      <c r="I40" s="3" t="n">
        <v>583</v>
      </c>
      <c r="J40" s="3">
        <f>MAX(I40-H40,0)</f>
        <v/>
      </c>
      <c r="K40" s="3" t="n">
        <v>23.2</v>
      </c>
      <c r="L40" s="3" t="n">
        <v>12100</v>
      </c>
      <c r="M40" s="3">
        <f>J40*K40*L40</f>
        <v/>
      </c>
      <c r="N40" s="3" t="n">
        <v>774000</v>
      </c>
      <c r="O40" s="3" t="n">
        <v>235000</v>
      </c>
      <c r="P40" s="3">
        <f>M40-N40-O40*J40/365</f>
        <v/>
      </c>
      <c r="Q40" s="3">
        <f>IFERROR(M40/(N40+O40*J40/365),0)</f>
        <v/>
      </c>
      <c r="R40" s="3">
        <f>IFERROR(N40/((M40/MAX(1,J40)*365)-O40)*12,0)</f>
        <v/>
      </c>
    </row>
    <row r="41">
      <c r="A41" s="3" t="inlineStr">
        <is>
          <t>EC-TRN-05-C1-A</t>
        </is>
      </c>
      <c r="B41" s="3" t="inlineStr">
        <is>
          <t>TRN-05</t>
        </is>
      </c>
      <c r="C41" s="3" t="inlineStr">
        <is>
          <t>Учебная скважина 05 · Заречное учебное / скв. 105 / Визейский горизонт</t>
        </is>
      </c>
      <c r="D41" s="4" t="n">
        <v>45393</v>
      </c>
      <c r="E41" s="3" t="n">
        <v>1</v>
      </c>
      <c r="F41" s="3" t="inlineStr">
        <is>
          <t>Повтор метода</t>
        </is>
      </c>
      <c r="G41" s="3" t="inlineStr">
        <is>
          <t>Повторная корректировка: Подбор деэмульгатора</t>
        </is>
      </c>
      <c r="H41" s="3" t="n">
        <v>150</v>
      </c>
      <c r="I41" s="3" t="n">
        <v>227</v>
      </c>
      <c r="J41" s="3">
        <f>MAX(I41-H41,0)</f>
        <v/>
      </c>
      <c r="K41" s="3" t="n">
        <v>15.4</v>
      </c>
      <c r="L41" s="3" t="n">
        <v>9800</v>
      </c>
      <c r="M41" s="3">
        <f>J41*K41*L41</f>
        <v/>
      </c>
      <c r="N41" s="3" t="n">
        <v>297500</v>
      </c>
      <c r="O41" s="3" t="n">
        <v>115000</v>
      </c>
      <c r="P41" s="3">
        <f>M41-N41-O41*J41/365</f>
        <v/>
      </c>
      <c r="Q41" s="3">
        <f>IFERROR(M41/(N41+O41*J41/365),0)</f>
        <v/>
      </c>
      <c r="R41" s="3">
        <f>IFERROR(N41/((M41/MAX(1,J41)*365)-O41)*12,0)</f>
        <v/>
      </c>
    </row>
    <row r="42">
      <c r="A42" s="3" t="inlineStr">
        <is>
          <t>EC-TRN-05-C1-B</t>
        </is>
      </c>
      <c r="B42" s="3" t="inlineStr">
        <is>
          <t>TRN-05</t>
        </is>
      </c>
      <c r="C42" s="3" t="inlineStr">
        <is>
          <t>Учебная скважина 05 · Заречное учебное / скв. 105 / Визейский горизонт</t>
        </is>
      </c>
      <c r="D42" s="4" t="n">
        <v>45393</v>
      </c>
      <c r="E42" s="3" t="n">
        <v>1</v>
      </c>
      <c r="F42" s="3" t="inlineStr">
        <is>
          <t>Новый подбор</t>
        </is>
      </c>
      <c r="G42" s="3" t="inlineStr">
        <is>
          <t>Повторная корректировка: Подбор деэмульгатора · лабораторная корректировка</t>
        </is>
      </c>
      <c r="H42" s="3" t="n">
        <v>150</v>
      </c>
      <c r="I42" s="3" t="n">
        <v>257</v>
      </c>
      <c r="J42" s="3">
        <f>MAX(I42-H42,0)</f>
        <v/>
      </c>
      <c r="K42" s="3" t="n">
        <v>15.4</v>
      </c>
      <c r="L42" s="3" t="n">
        <v>9800</v>
      </c>
      <c r="M42" s="3">
        <f>J42*K42*L42</f>
        <v/>
      </c>
      <c r="N42" s="3" t="n">
        <v>537500</v>
      </c>
      <c r="O42" s="3" t="n">
        <v>165000</v>
      </c>
      <c r="P42" s="3">
        <f>M42-N42-O42*J42/365</f>
        <v/>
      </c>
      <c r="Q42" s="3">
        <f>IFERROR(M42/(N42+O42*J42/365),0)</f>
        <v/>
      </c>
      <c r="R42" s="3">
        <f>IFERROR(N42/((M42/MAX(1,J42)*365)-O42)*12,0)</f>
        <v/>
      </c>
    </row>
    <row r="43">
      <c r="A43" s="3" t="inlineStr">
        <is>
          <t>EC-TRN-05-C1-C</t>
        </is>
      </c>
      <c r="B43" s="3" t="inlineStr">
        <is>
          <t>TRN-05</t>
        </is>
      </c>
      <c r="C43" s="3" t="inlineStr">
        <is>
          <t>Учебная скважина 05 · Заречное учебное / скв. 105 / Визейский горизонт</t>
        </is>
      </c>
      <c r="D43" s="4" t="n">
        <v>45393</v>
      </c>
      <c r="E43" s="3" t="n">
        <v>1</v>
      </c>
      <c r="F43" s="3" t="inlineStr">
        <is>
          <t>Комплексная защита</t>
        </is>
      </c>
      <c r="G43" s="3" t="inlineStr">
        <is>
          <t>Комплекс: Повторная корректировка: Подбор деэмульгатора + мониторинг</t>
        </is>
      </c>
      <c r="H43" s="3" t="n">
        <v>150</v>
      </c>
      <c r="I43" s="3" t="n">
        <v>287</v>
      </c>
      <c r="J43" s="3">
        <f>MAX(I43-H43,0)</f>
        <v/>
      </c>
      <c r="K43" s="3" t="n">
        <v>15.4</v>
      </c>
      <c r="L43" s="3" t="n">
        <v>9800</v>
      </c>
      <c r="M43" s="3">
        <f>J43*K43*L43</f>
        <v/>
      </c>
      <c r="N43" s="3" t="n">
        <v>777500</v>
      </c>
      <c r="O43" s="3" t="n">
        <v>235000</v>
      </c>
      <c r="P43" s="3">
        <f>M43-N43-O43*J43/365</f>
        <v/>
      </c>
      <c r="Q43" s="3">
        <f>IFERROR(M43/(N43+O43*J43/365),0)</f>
        <v/>
      </c>
      <c r="R43" s="3">
        <f>IFERROR(N43/((M43/MAX(1,J43)*365)-O43)*12,0)</f>
        <v/>
      </c>
    </row>
    <row r="44">
      <c r="A44" s="3" t="inlineStr">
        <is>
          <t>EC-TRN-05-C2-A</t>
        </is>
      </c>
      <c r="B44" s="3" t="inlineStr">
        <is>
          <t>TRN-05</t>
        </is>
      </c>
      <c r="C44" s="3" t="inlineStr">
        <is>
          <t>Учебная скважина 05 · Заречное учебное / скв. 105 / Визейский горизонт</t>
        </is>
      </c>
      <c r="D44" s="4" t="n">
        <v>45923</v>
      </c>
      <c r="E44" s="3" t="n">
        <v>2</v>
      </c>
      <c r="F44" s="3" t="inlineStr">
        <is>
          <t>Повтор метода</t>
        </is>
      </c>
      <c r="G44" s="3" t="inlineStr">
        <is>
          <t>Ингибитор солеотложений</t>
        </is>
      </c>
      <c r="H44" s="3" t="n">
        <v>521</v>
      </c>
      <c r="I44" s="3" t="n">
        <v>560</v>
      </c>
      <c r="J44" s="3">
        <f>MAX(I44-H44,0)</f>
        <v/>
      </c>
      <c r="K44" s="3" t="n">
        <v>15.4</v>
      </c>
      <c r="L44" s="3" t="n">
        <v>9800</v>
      </c>
      <c r="M44" s="3">
        <f>J44*K44*L44</f>
        <v/>
      </c>
      <c r="N44" s="3" t="n">
        <v>297500</v>
      </c>
      <c r="O44" s="3" t="n">
        <v>115000</v>
      </c>
      <c r="P44" s="3">
        <f>M44-N44-O44*J44/365</f>
        <v/>
      </c>
      <c r="Q44" s="3">
        <f>IFERROR(M44/(N44+O44*J44/365),0)</f>
        <v/>
      </c>
      <c r="R44" s="3">
        <f>IFERROR(N44/((M44/MAX(1,J44)*365)-O44)*12,0)</f>
        <v/>
      </c>
    </row>
    <row r="45">
      <c r="A45" s="3" t="inlineStr">
        <is>
          <t>EC-TRN-05-C2-B</t>
        </is>
      </c>
      <c r="B45" s="3" t="inlineStr">
        <is>
          <t>TRN-05</t>
        </is>
      </c>
      <c r="C45" s="3" t="inlineStr">
        <is>
          <t>Учебная скважина 05 · Заречное учебное / скв. 105 / Визейский горизонт</t>
        </is>
      </c>
      <c r="D45" s="4" t="n">
        <v>45923</v>
      </c>
      <c r="E45" s="3" t="n">
        <v>2</v>
      </c>
      <c r="F45" s="3" t="inlineStr">
        <is>
          <t>Новый подбор</t>
        </is>
      </c>
      <c r="G45" s="3" t="inlineStr">
        <is>
          <t>Ингибитор солеотложений · лабораторная корректировка</t>
        </is>
      </c>
      <c r="H45" s="3" t="n">
        <v>521</v>
      </c>
      <c r="I45" s="3" t="n">
        <v>590</v>
      </c>
      <c r="J45" s="3">
        <f>MAX(I45-H45,0)</f>
        <v/>
      </c>
      <c r="K45" s="3" t="n">
        <v>15.4</v>
      </c>
      <c r="L45" s="3" t="n">
        <v>9800</v>
      </c>
      <c r="M45" s="3">
        <f>J45*K45*L45</f>
        <v/>
      </c>
      <c r="N45" s="3" t="n">
        <v>537500</v>
      </c>
      <c r="O45" s="3" t="n">
        <v>165000</v>
      </c>
      <c r="P45" s="3">
        <f>M45-N45-O45*J45/365</f>
        <v/>
      </c>
      <c r="Q45" s="3">
        <f>IFERROR(M45/(N45+O45*J45/365),0)</f>
        <v/>
      </c>
      <c r="R45" s="3">
        <f>IFERROR(N45/((M45/MAX(1,J45)*365)-O45)*12,0)</f>
        <v/>
      </c>
    </row>
    <row r="46">
      <c r="A46" s="3" t="inlineStr">
        <is>
          <t>EC-TRN-05-C2-C</t>
        </is>
      </c>
      <c r="B46" s="3" t="inlineStr">
        <is>
          <t>TRN-05</t>
        </is>
      </c>
      <c r="C46" s="3" t="inlineStr">
        <is>
          <t>Учебная скважина 05 · Заречное учебное / скв. 105 / Визейский горизонт</t>
        </is>
      </c>
      <c r="D46" s="4" t="n">
        <v>45923</v>
      </c>
      <c r="E46" s="3" t="n">
        <v>2</v>
      </c>
      <c r="F46" s="3" t="inlineStr">
        <is>
          <t>Комплексная защита</t>
        </is>
      </c>
      <c r="G46" s="3" t="inlineStr">
        <is>
          <t>Комплекс: Ингибитор солеотложений + мониторинг</t>
        </is>
      </c>
      <c r="H46" s="3" t="n">
        <v>521</v>
      </c>
      <c r="I46" s="3" t="n">
        <v>620</v>
      </c>
      <c r="J46" s="3">
        <f>MAX(I46-H46,0)</f>
        <v/>
      </c>
      <c r="K46" s="3" t="n">
        <v>15.4</v>
      </c>
      <c r="L46" s="3" t="n">
        <v>9800</v>
      </c>
      <c r="M46" s="3">
        <f>J46*K46*L46</f>
        <v/>
      </c>
      <c r="N46" s="3" t="n">
        <v>777500</v>
      </c>
      <c r="O46" s="3" t="n">
        <v>235000</v>
      </c>
      <c r="P46" s="3">
        <f>M46-N46-O46*J46/365</f>
        <v/>
      </c>
      <c r="Q46" s="3">
        <f>IFERROR(M46/(N46+O46*J46/365),0)</f>
        <v/>
      </c>
      <c r="R46" s="3">
        <f>IFERROR(N46/((M46/MAX(1,J46)*365)-O46)*12,0)</f>
        <v/>
      </c>
    </row>
    <row r="47">
      <c r="A47" s="3" t="inlineStr">
        <is>
          <t>EC-TRN-05-C3-A</t>
        </is>
      </c>
      <c r="B47" s="3" t="inlineStr">
        <is>
          <t>TRN-05</t>
        </is>
      </c>
      <c r="C47" s="3" t="inlineStr">
        <is>
          <t>Учебная скважина 05 · Заречное учебное / скв. 105 / Визейский горизонт</t>
        </is>
      </c>
      <c r="D47" s="4" t="n">
        <v>46147</v>
      </c>
      <c r="E47" s="3" t="n">
        <v>3</v>
      </c>
      <c r="F47" s="3" t="inlineStr">
        <is>
          <t>Повтор метода</t>
        </is>
      </c>
      <c r="G47" s="3" t="inlineStr">
        <is>
          <t>Повторная корректировка: Фильтрация и контроль фракций</t>
        </is>
      </c>
      <c r="H47" s="3" t="n">
        <v>214</v>
      </c>
      <c r="I47" s="3" t="n">
        <v>270</v>
      </c>
      <c r="J47" s="3">
        <f>MAX(I47-H47,0)</f>
        <v/>
      </c>
      <c r="K47" s="3" t="n">
        <v>15.4</v>
      </c>
      <c r="L47" s="3" t="n">
        <v>9800</v>
      </c>
      <c r="M47" s="3">
        <f>J47*K47*L47</f>
        <v/>
      </c>
      <c r="N47" s="3" t="n">
        <v>297500</v>
      </c>
      <c r="O47" s="3" t="n">
        <v>115000</v>
      </c>
      <c r="P47" s="3">
        <f>M47-N47-O47*J47/365</f>
        <v/>
      </c>
      <c r="Q47" s="3">
        <f>IFERROR(M47/(N47+O47*J47/365),0)</f>
        <v/>
      </c>
      <c r="R47" s="3">
        <f>IFERROR(N47/((M47/MAX(1,J47)*365)-O47)*12,0)</f>
        <v/>
      </c>
    </row>
    <row r="48">
      <c r="A48" s="3" t="inlineStr">
        <is>
          <t>EC-TRN-05-C3-B</t>
        </is>
      </c>
      <c r="B48" s="3" t="inlineStr">
        <is>
          <t>TRN-05</t>
        </is>
      </c>
      <c r="C48" s="3" t="inlineStr">
        <is>
          <t>Учебная скважина 05 · Заречное учебное / скв. 105 / Визейский горизонт</t>
        </is>
      </c>
      <c r="D48" s="4" t="n">
        <v>46147</v>
      </c>
      <c r="E48" s="3" t="n">
        <v>3</v>
      </c>
      <c r="F48" s="3" t="inlineStr">
        <is>
          <t>Новый подбор</t>
        </is>
      </c>
      <c r="G48" s="3" t="inlineStr">
        <is>
          <t>Повторная корректировка: Фильтрация и контроль фракций · лабораторная корректировка</t>
        </is>
      </c>
      <c r="H48" s="3" t="n">
        <v>214</v>
      </c>
      <c r="I48" s="3" t="n">
        <v>300</v>
      </c>
      <c r="J48" s="3">
        <f>MAX(I48-H48,0)</f>
        <v/>
      </c>
      <c r="K48" s="3" t="n">
        <v>15.4</v>
      </c>
      <c r="L48" s="3" t="n">
        <v>9800</v>
      </c>
      <c r="M48" s="3">
        <f>J48*K48*L48</f>
        <v/>
      </c>
      <c r="N48" s="3" t="n">
        <v>537500</v>
      </c>
      <c r="O48" s="3" t="n">
        <v>165000</v>
      </c>
      <c r="P48" s="3">
        <f>M48-N48-O48*J48/365</f>
        <v/>
      </c>
      <c r="Q48" s="3">
        <f>IFERROR(M48/(N48+O48*J48/365),0)</f>
        <v/>
      </c>
      <c r="R48" s="3">
        <f>IFERROR(N48/((M48/MAX(1,J48)*365)-O48)*12,0)</f>
        <v/>
      </c>
    </row>
    <row r="49">
      <c r="A49" s="3" t="inlineStr">
        <is>
          <t>EC-TRN-05-C3-C</t>
        </is>
      </c>
      <c r="B49" s="3" t="inlineStr">
        <is>
          <t>TRN-05</t>
        </is>
      </c>
      <c r="C49" s="3" t="inlineStr">
        <is>
          <t>Учебная скважина 05 · Заречное учебное / скв. 105 / Визейский горизонт</t>
        </is>
      </c>
      <c r="D49" s="4" t="n">
        <v>46147</v>
      </c>
      <c r="E49" s="3" t="n">
        <v>3</v>
      </c>
      <c r="F49" s="3" t="inlineStr">
        <is>
          <t>Комплексная защита</t>
        </is>
      </c>
      <c r="G49" s="3" t="inlineStr">
        <is>
          <t>Комплекс: Повторная корректировка: Фильтрация и контроль фракций + мониторинг</t>
        </is>
      </c>
      <c r="H49" s="3" t="n">
        <v>214</v>
      </c>
      <c r="I49" s="3" t="n">
        <v>330</v>
      </c>
      <c r="J49" s="3">
        <f>MAX(I49-H49,0)</f>
        <v/>
      </c>
      <c r="K49" s="3" t="n">
        <v>15.4</v>
      </c>
      <c r="L49" s="3" t="n">
        <v>9800</v>
      </c>
      <c r="M49" s="3">
        <f>J49*K49*L49</f>
        <v/>
      </c>
      <c r="N49" s="3" t="n">
        <v>777500</v>
      </c>
      <c r="O49" s="3" t="n">
        <v>235000</v>
      </c>
      <c r="P49" s="3">
        <f>M49-N49-O49*J49/365</f>
        <v/>
      </c>
      <c r="Q49" s="3">
        <f>IFERROR(M49/(N49+O49*J49/365),0)</f>
        <v/>
      </c>
      <c r="R49" s="3">
        <f>IFERROR(N49/((M49/MAX(1,J49)*365)-O49)*12,0)</f>
        <v/>
      </c>
    </row>
    <row r="50">
      <c r="A50" s="3" t="inlineStr">
        <is>
          <t>EC-TRN-06-C1-A</t>
        </is>
      </c>
      <c r="B50" s="3" t="inlineStr">
        <is>
          <t>TRN-06</t>
        </is>
      </c>
      <c r="C50" s="3" t="inlineStr">
        <is>
          <t>Учебная скважина 06 · Речное учебное / скв. 106 / Девонский горизонт</t>
        </is>
      </c>
      <c r="D50" s="4" t="n">
        <v>45492</v>
      </c>
      <c r="E50" s="3" t="n">
        <v>1</v>
      </c>
      <c r="F50" s="3" t="inlineStr">
        <is>
          <t>Повтор метода</t>
        </is>
      </c>
      <c r="G50" s="3" t="inlineStr">
        <is>
          <t>Тепловой режим + ингибитор гидратов</t>
        </is>
      </c>
      <c r="H50" s="3" t="n">
        <v>247</v>
      </c>
      <c r="I50" s="3" t="n">
        <v>282</v>
      </c>
      <c r="J50" s="3">
        <f>MAX(I50-H50,0)</f>
        <v/>
      </c>
      <c r="K50" s="3" t="n">
        <v>37.5</v>
      </c>
      <c r="L50" s="3" t="n">
        <v>11500</v>
      </c>
      <c r="M50" s="3">
        <f>J50*K50*L50</f>
        <v/>
      </c>
      <c r="N50" s="3" t="n">
        <v>301000</v>
      </c>
      <c r="O50" s="3" t="n">
        <v>115000</v>
      </c>
      <c r="P50" s="3">
        <f>M50-N50-O50*J50/365</f>
        <v/>
      </c>
      <c r="Q50" s="3">
        <f>IFERROR(M50/(N50+O50*J50/365),0)</f>
        <v/>
      </c>
      <c r="R50" s="3">
        <f>IFERROR(N50/((M50/MAX(1,J50)*365)-O50)*12,0)</f>
        <v/>
      </c>
    </row>
    <row r="51">
      <c r="A51" s="3" t="inlineStr">
        <is>
          <t>EC-TRN-06-C1-B</t>
        </is>
      </c>
      <c r="B51" s="3" t="inlineStr">
        <is>
          <t>TRN-06</t>
        </is>
      </c>
      <c r="C51" s="3" t="inlineStr">
        <is>
          <t>Учебная скважина 06 · Речное учебное / скв. 106 / Девонский горизонт</t>
        </is>
      </c>
      <c r="D51" s="4" t="n">
        <v>45492</v>
      </c>
      <c r="E51" s="3" t="n">
        <v>1</v>
      </c>
      <c r="F51" s="3" t="inlineStr">
        <is>
          <t>Новый подбор</t>
        </is>
      </c>
      <c r="G51" s="3" t="inlineStr">
        <is>
          <t>Тепловой режим + ингибитор гидратов · лабораторная корректировка</t>
        </is>
      </c>
      <c r="H51" s="3" t="n">
        <v>247</v>
      </c>
      <c r="I51" s="3" t="n">
        <v>312</v>
      </c>
      <c r="J51" s="3">
        <f>MAX(I51-H51,0)</f>
        <v/>
      </c>
      <c r="K51" s="3" t="n">
        <v>37.5</v>
      </c>
      <c r="L51" s="3" t="n">
        <v>11500</v>
      </c>
      <c r="M51" s="3">
        <f>J51*K51*L51</f>
        <v/>
      </c>
      <c r="N51" s="3" t="n">
        <v>541000</v>
      </c>
      <c r="O51" s="3" t="n">
        <v>165000</v>
      </c>
      <c r="P51" s="3">
        <f>M51-N51-O51*J51/365</f>
        <v/>
      </c>
      <c r="Q51" s="3">
        <f>IFERROR(M51/(N51+O51*J51/365),0)</f>
        <v/>
      </c>
      <c r="R51" s="3">
        <f>IFERROR(N51/((M51/MAX(1,J51)*365)-O51)*12,0)</f>
        <v/>
      </c>
    </row>
    <row r="52">
      <c r="A52" s="3" t="inlineStr">
        <is>
          <t>EC-TRN-06-C1-C</t>
        </is>
      </c>
      <c r="B52" s="3" t="inlineStr">
        <is>
          <t>TRN-06</t>
        </is>
      </c>
      <c r="C52" s="3" t="inlineStr">
        <is>
          <t>Учебная скважина 06 · Речное учебное / скв. 106 / Девонский горизонт</t>
        </is>
      </c>
      <c r="D52" s="4" t="n">
        <v>45492</v>
      </c>
      <c r="E52" s="3" t="n">
        <v>1</v>
      </c>
      <c r="F52" s="3" t="inlineStr">
        <is>
          <t>Комплексная защита</t>
        </is>
      </c>
      <c r="G52" s="3" t="inlineStr">
        <is>
          <t>Комплекс: Тепловой режим + ингибитор гидратов + мониторинг</t>
        </is>
      </c>
      <c r="H52" s="3" t="n">
        <v>247</v>
      </c>
      <c r="I52" s="3" t="n">
        <v>342</v>
      </c>
      <c r="J52" s="3">
        <f>MAX(I52-H52,0)</f>
        <v/>
      </c>
      <c r="K52" s="3" t="n">
        <v>37.5</v>
      </c>
      <c r="L52" s="3" t="n">
        <v>11500</v>
      </c>
      <c r="M52" s="3">
        <f>J52*K52*L52</f>
        <v/>
      </c>
      <c r="N52" s="3" t="n">
        <v>781000</v>
      </c>
      <c r="O52" s="3" t="n">
        <v>235000</v>
      </c>
      <c r="P52" s="3">
        <f>M52-N52-O52*J52/365</f>
        <v/>
      </c>
      <c r="Q52" s="3">
        <f>IFERROR(M52/(N52+O52*J52/365),0)</f>
        <v/>
      </c>
      <c r="R52" s="3">
        <f>IFERROR(N52/((M52/MAX(1,J52)*365)-O52)*12,0)</f>
        <v/>
      </c>
    </row>
    <row r="53">
      <c r="A53" s="3" t="inlineStr">
        <is>
          <t>EC-TRN-06-C2-A</t>
        </is>
      </c>
      <c r="B53" s="3" t="inlineStr">
        <is>
          <t>TRN-06</t>
        </is>
      </c>
      <c r="C53" s="3" t="inlineStr">
        <is>
          <t>Учебная скважина 06 · Речное учебное / скв. 106 / Девонский горизонт</t>
        </is>
      </c>
      <c r="D53" s="4" t="n">
        <v>45719</v>
      </c>
      <c r="E53" s="3" t="n">
        <v>2</v>
      </c>
      <c r="F53" s="3" t="inlineStr">
        <is>
          <t>Повтор метода</t>
        </is>
      </c>
      <c r="G53" s="3" t="inlineStr">
        <is>
          <t>Подбор растворителя и профилактики</t>
        </is>
      </c>
      <c r="H53" s="3" t="n">
        <v>217</v>
      </c>
      <c r="I53" s="3" t="n">
        <v>269</v>
      </c>
      <c r="J53" s="3">
        <f>MAX(I53-H53,0)</f>
        <v/>
      </c>
      <c r="K53" s="3" t="n">
        <v>37.5</v>
      </c>
      <c r="L53" s="3" t="n">
        <v>11500</v>
      </c>
      <c r="M53" s="3">
        <f>J53*K53*L53</f>
        <v/>
      </c>
      <c r="N53" s="3" t="n">
        <v>301000</v>
      </c>
      <c r="O53" s="3" t="n">
        <v>115000</v>
      </c>
      <c r="P53" s="3">
        <f>M53-N53-O53*J53/365</f>
        <v/>
      </c>
      <c r="Q53" s="3">
        <f>IFERROR(M53/(N53+O53*J53/365),0)</f>
        <v/>
      </c>
      <c r="R53" s="3">
        <f>IFERROR(N53/((M53/MAX(1,J53)*365)-O53)*12,0)</f>
        <v/>
      </c>
    </row>
    <row r="54">
      <c r="A54" s="3" t="inlineStr">
        <is>
          <t>EC-TRN-06-C2-B</t>
        </is>
      </c>
      <c r="B54" s="3" t="inlineStr">
        <is>
          <t>TRN-06</t>
        </is>
      </c>
      <c r="C54" s="3" t="inlineStr">
        <is>
          <t>Учебная скважина 06 · Речное учебное / скв. 106 / Девонский горизонт</t>
        </is>
      </c>
      <c r="D54" s="4" t="n">
        <v>45719</v>
      </c>
      <c r="E54" s="3" t="n">
        <v>2</v>
      </c>
      <c r="F54" s="3" t="inlineStr">
        <is>
          <t>Новый подбор</t>
        </is>
      </c>
      <c r="G54" s="3" t="inlineStr">
        <is>
          <t>Подбор растворителя и профилактики · лабораторная корректировка</t>
        </is>
      </c>
      <c r="H54" s="3" t="n">
        <v>217</v>
      </c>
      <c r="I54" s="3" t="n">
        <v>299</v>
      </c>
      <c r="J54" s="3">
        <f>MAX(I54-H54,0)</f>
        <v/>
      </c>
      <c r="K54" s="3" t="n">
        <v>37.5</v>
      </c>
      <c r="L54" s="3" t="n">
        <v>11500</v>
      </c>
      <c r="M54" s="3">
        <f>J54*K54*L54</f>
        <v/>
      </c>
      <c r="N54" s="3" t="n">
        <v>541000</v>
      </c>
      <c r="O54" s="3" t="n">
        <v>165000</v>
      </c>
      <c r="P54" s="3">
        <f>M54-N54-O54*J54/365</f>
        <v/>
      </c>
      <c r="Q54" s="3">
        <f>IFERROR(M54/(N54+O54*J54/365),0)</f>
        <v/>
      </c>
      <c r="R54" s="3">
        <f>IFERROR(N54/((M54/MAX(1,J54)*365)-O54)*12,0)</f>
        <v/>
      </c>
    </row>
    <row r="55">
      <c r="A55" s="3" t="inlineStr">
        <is>
          <t>EC-TRN-06-C2-C</t>
        </is>
      </c>
      <c r="B55" s="3" t="inlineStr">
        <is>
          <t>TRN-06</t>
        </is>
      </c>
      <c r="C55" s="3" t="inlineStr">
        <is>
          <t>Учебная скважина 06 · Речное учебное / скв. 106 / Девонский горизонт</t>
        </is>
      </c>
      <c r="D55" s="4" t="n">
        <v>45719</v>
      </c>
      <c r="E55" s="3" t="n">
        <v>2</v>
      </c>
      <c r="F55" s="3" t="inlineStr">
        <is>
          <t>Комплексная защита</t>
        </is>
      </c>
      <c r="G55" s="3" t="inlineStr">
        <is>
          <t>Комплекс: Подбор растворителя и профилактики + мониторинг</t>
        </is>
      </c>
      <c r="H55" s="3" t="n">
        <v>217</v>
      </c>
      <c r="I55" s="3" t="n">
        <v>329</v>
      </c>
      <c r="J55" s="3">
        <f>MAX(I55-H55,0)</f>
        <v/>
      </c>
      <c r="K55" s="3" t="n">
        <v>37.5</v>
      </c>
      <c r="L55" s="3" t="n">
        <v>11500</v>
      </c>
      <c r="M55" s="3">
        <f>J55*K55*L55</f>
        <v/>
      </c>
      <c r="N55" s="3" t="n">
        <v>781000</v>
      </c>
      <c r="O55" s="3" t="n">
        <v>235000</v>
      </c>
      <c r="P55" s="3">
        <f>M55-N55-O55*J55/365</f>
        <v/>
      </c>
      <c r="Q55" s="3">
        <f>IFERROR(M55/(N55+O55*J55/365),0)</f>
        <v/>
      </c>
      <c r="R55" s="3">
        <f>IFERROR(N55/((M55/MAX(1,J55)*365)-O55)*12,0)</f>
        <v/>
      </c>
    </row>
    <row r="56">
      <c r="A56" s="3" t="inlineStr">
        <is>
          <t>EC-TRN-06-C3-A</t>
        </is>
      </c>
      <c r="B56" s="3" t="inlineStr">
        <is>
          <t>TRN-06</t>
        </is>
      </c>
      <c r="C56" s="3" t="inlineStr">
        <is>
          <t>Учебная скважина 06 · Речное учебное / скв. 106 / Девонский горизонт</t>
        </is>
      </c>
      <c r="D56" s="4" t="n">
        <v>46213</v>
      </c>
      <c r="E56" s="3" t="n">
        <v>3</v>
      </c>
      <c r="F56" s="3" t="inlineStr">
        <is>
          <t>Повтор метода</t>
        </is>
      </c>
      <c r="G56" s="3" t="inlineStr">
        <is>
          <t>Подбор деэмульгатора</t>
        </is>
      </c>
      <c r="H56" s="3" t="n">
        <v>490</v>
      </c>
      <c r="I56" s="3" t="n">
        <v>559</v>
      </c>
      <c r="J56" s="3">
        <f>MAX(I56-H56,0)</f>
        <v/>
      </c>
      <c r="K56" s="3" t="n">
        <v>37.5</v>
      </c>
      <c r="L56" s="3" t="n">
        <v>11500</v>
      </c>
      <c r="M56" s="3">
        <f>J56*K56*L56</f>
        <v/>
      </c>
      <c r="N56" s="3" t="n">
        <v>301000</v>
      </c>
      <c r="O56" s="3" t="n">
        <v>115000</v>
      </c>
      <c r="P56" s="3">
        <f>M56-N56-O56*J56/365</f>
        <v/>
      </c>
      <c r="Q56" s="3">
        <f>IFERROR(M56/(N56+O56*J56/365),0)</f>
        <v/>
      </c>
      <c r="R56" s="3">
        <f>IFERROR(N56/((M56/MAX(1,J56)*365)-O56)*12,0)</f>
        <v/>
      </c>
    </row>
    <row r="57">
      <c r="A57" s="3" t="inlineStr">
        <is>
          <t>EC-TRN-06-C3-B</t>
        </is>
      </c>
      <c r="B57" s="3" t="inlineStr">
        <is>
          <t>TRN-06</t>
        </is>
      </c>
      <c r="C57" s="3" t="inlineStr">
        <is>
          <t>Учебная скважина 06 · Речное учебное / скв. 106 / Девонский горизонт</t>
        </is>
      </c>
      <c r="D57" s="4" t="n">
        <v>46213</v>
      </c>
      <c r="E57" s="3" t="n">
        <v>3</v>
      </c>
      <c r="F57" s="3" t="inlineStr">
        <is>
          <t>Новый подбор</t>
        </is>
      </c>
      <c r="G57" s="3" t="inlineStr">
        <is>
          <t>Подбор деэмульгатора · лабораторная корректировка</t>
        </is>
      </c>
      <c r="H57" s="3" t="n">
        <v>490</v>
      </c>
      <c r="I57" s="3" t="n">
        <v>589</v>
      </c>
      <c r="J57" s="3">
        <f>MAX(I57-H57,0)</f>
        <v/>
      </c>
      <c r="K57" s="3" t="n">
        <v>37.5</v>
      </c>
      <c r="L57" s="3" t="n">
        <v>11500</v>
      </c>
      <c r="M57" s="3">
        <f>J57*K57*L57</f>
        <v/>
      </c>
      <c r="N57" s="3" t="n">
        <v>541000</v>
      </c>
      <c r="O57" s="3" t="n">
        <v>165000</v>
      </c>
      <c r="P57" s="3">
        <f>M57-N57-O57*J57/365</f>
        <v/>
      </c>
      <c r="Q57" s="3">
        <f>IFERROR(M57/(N57+O57*J57/365),0)</f>
        <v/>
      </c>
      <c r="R57" s="3">
        <f>IFERROR(N57/((M57/MAX(1,J57)*365)-O57)*12,0)</f>
        <v/>
      </c>
    </row>
    <row r="58">
      <c r="A58" s="3" t="inlineStr">
        <is>
          <t>EC-TRN-06-C3-C</t>
        </is>
      </c>
      <c r="B58" s="3" t="inlineStr">
        <is>
          <t>TRN-06</t>
        </is>
      </c>
      <c r="C58" s="3" t="inlineStr">
        <is>
          <t>Учебная скважина 06 · Речное учебное / скв. 106 / Девонский горизонт</t>
        </is>
      </c>
      <c r="D58" s="4" t="n">
        <v>46213</v>
      </c>
      <c r="E58" s="3" t="n">
        <v>3</v>
      </c>
      <c r="F58" s="3" t="inlineStr">
        <is>
          <t>Комплексная защита</t>
        </is>
      </c>
      <c r="G58" s="3" t="inlineStr">
        <is>
          <t>Комплекс: Подбор деэмульгатора + мониторинг</t>
        </is>
      </c>
      <c r="H58" s="3" t="n">
        <v>490</v>
      </c>
      <c r="I58" s="3" t="n">
        <v>619</v>
      </c>
      <c r="J58" s="3">
        <f>MAX(I58-H58,0)</f>
        <v/>
      </c>
      <c r="K58" s="3" t="n">
        <v>37.5</v>
      </c>
      <c r="L58" s="3" t="n">
        <v>11500</v>
      </c>
      <c r="M58" s="3">
        <f>J58*K58*L58</f>
        <v/>
      </c>
      <c r="N58" s="3" t="n">
        <v>781000</v>
      </c>
      <c r="O58" s="3" t="n">
        <v>235000</v>
      </c>
      <c r="P58" s="3">
        <f>M58-N58-O58*J58/365</f>
        <v/>
      </c>
      <c r="Q58" s="3">
        <f>IFERROR(M58/(N58+O58*J58/365),0)</f>
        <v/>
      </c>
      <c r="R58" s="3">
        <f>IFERROR(N58/((M58/MAX(1,J58)*365)-O58)*12,0)</f>
        <v/>
      </c>
    </row>
    <row r="59">
      <c r="A59" s="3" t="inlineStr">
        <is>
          <t>EC-TRN-07-C1-A</t>
        </is>
      </c>
      <c r="B59" s="3" t="inlineStr">
        <is>
          <t>TRN-07</t>
        </is>
      </c>
      <c r="C59" s="3" t="inlineStr">
        <is>
          <t>Учебная скважина 07 · Степное учебное / скв. 107 / Карбонатный пласт</t>
        </is>
      </c>
      <c r="D59" s="4" t="n">
        <v>45592</v>
      </c>
      <c r="E59" s="3" t="n">
        <v>1</v>
      </c>
      <c r="F59" s="3" t="inlineStr">
        <is>
          <t>Повтор метода</t>
        </is>
      </c>
      <c r="G59" s="3" t="inlineStr">
        <is>
          <t>Биоцидная обработка + контроль</t>
        </is>
      </c>
      <c r="H59" s="3" t="n">
        <v>345</v>
      </c>
      <c r="I59" s="3" t="n">
        <v>393</v>
      </c>
      <c r="J59" s="3">
        <f>MAX(I59-H59,0)</f>
        <v/>
      </c>
      <c r="K59" s="3" t="n">
        <v>40.9</v>
      </c>
      <c r="L59" s="3" t="n">
        <v>12800</v>
      </c>
      <c r="M59" s="3">
        <f>J59*K59*L59</f>
        <v/>
      </c>
      <c r="N59" s="3" t="n">
        <v>304500</v>
      </c>
      <c r="O59" s="3" t="n">
        <v>115000</v>
      </c>
      <c r="P59" s="3">
        <f>M59-N59-O59*J59/365</f>
        <v/>
      </c>
      <c r="Q59" s="3">
        <f>IFERROR(M59/(N59+O59*J59/365),0)</f>
        <v/>
      </c>
      <c r="R59" s="3">
        <f>IFERROR(N59/((M59/MAX(1,J59)*365)-O59)*12,0)</f>
        <v/>
      </c>
    </row>
    <row r="60">
      <c r="A60" s="3" t="inlineStr">
        <is>
          <t>EC-TRN-07-C1-B</t>
        </is>
      </c>
      <c r="B60" s="3" t="inlineStr">
        <is>
          <t>TRN-07</t>
        </is>
      </c>
      <c r="C60" s="3" t="inlineStr">
        <is>
          <t>Учебная скважина 07 · Степное учебное / скв. 107 / Карбонатный пласт</t>
        </is>
      </c>
      <c r="D60" s="4" t="n">
        <v>45592</v>
      </c>
      <c r="E60" s="3" t="n">
        <v>1</v>
      </c>
      <c r="F60" s="3" t="inlineStr">
        <is>
          <t>Новый подбор</t>
        </is>
      </c>
      <c r="G60" s="3" t="inlineStr">
        <is>
          <t>Биоцидная обработка + контроль · лабораторная корректировка</t>
        </is>
      </c>
      <c r="H60" s="3" t="n">
        <v>345</v>
      </c>
      <c r="I60" s="3" t="n">
        <v>423</v>
      </c>
      <c r="J60" s="3">
        <f>MAX(I60-H60,0)</f>
        <v/>
      </c>
      <c r="K60" s="3" t="n">
        <v>40.9</v>
      </c>
      <c r="L60" s="3" t="n">
        <v>12800</v>
      </c>
      <c r="M60" s="3">
        <f>J60*K60*L60</f>
        <v/>
      </c>
      <c r="N60" s="3" t="n">
        <v>544500</v>
      </c>
      <c r="O60" s="3" t="n">
        <v>165000</v>
      </c>
      <c r="P60" s="3">
        <f>M60-N60-O60*J60/365</f>
        <v/>
      </c>
      <c r="Q60" s="3">
        <f>IFERROR(M60/(N60+O60*J60/365),0)</f>
        <v/>
      </c>
      <c r="R60" s="3">
        <f>IFERROR(N60/((M60/MAX(1,J60)*365)-O60)*12,0)</f>
        <v/>
      </c>
    </row>
    <row r="61">
      <c r="A61" s="3" t="inlineStr">
        <is>
          <t>EC-TRN-07-C1-C</t>
        </is>
      </c>
      <c r="B61" s="3" t="inlineStr">
        <is>
          <t>TRN-07</t>
        </is>
      </c>
      <c r="C61" s="3" t="inlineStr">
        <is>
          <t>Учебная скважина 07 · Степное учебное / скв. 107 / Карбонатный пласт</t>
        </is>
      </c>
      <c r="D61" s="4" t="n">
        <v>45592</v>
      </c>
      <c r="E61" s="3" t="n">
        <v>1</v>
      </c>
      <c r="F61" s="3" t="inlineStr">
        <is>
          <t>Комплексная защита</t>
        </is>
      </c>
      <c r="G61" s="3" t="inlineStr">
        <is>
          <t>Комплекс: Биоцидная обработка + контроль + мониторинг</t>
        </is>
      </c>
      <c r="H61" s="3" t="n">
        <v>345</v>
      </c>
      <c r="I61" s="3" t="n">
        <v>453</v>
      </c>
      <c r="J61" s="3">
        <f>MAX(I61-H61,0)</f>
        <v/>
      </c>
      <c r="K61" s="3" t="n">
        <v>40.9</v>
      </c>
      <c r="L61" s="3" t="n">
        <v>12800</v>
      </c>
      <c r="M61" s="3">
        <f>J61*K61*L61</f>
        <v/>
      </c>
      <c r="N61" s="3" t="n">
        <v>784500</v>
      </c>
      <c r="O61" s="3" t="n">
        <v>235000</v>
      </c>
      <c r="P61" s="3">
        <f>M61-N61-O61*J61/365</f>
        <v/>
      </c>
      <c r="Q61" s="3">
        <f>IFERROR(M61/(N61+O61*J61/365),0)</f>
        <v/>
      </c>
      <c r="R61" s="3">
        <f>IFERROR(N61/((M61/MAX(1,J61)*365)-O61)*12,0)</f>
        <v/>
      </c>
    </row>
    <row r="62">
      <c r="A62" s="3" t="inlineStr">
        <is>
          <t>EC-TRN-07-C2-A</t>
        </is>
      </c>
      <c r="B62" s="3" t="inlineStr">
        <is>
          <t>TRN-07</t>
        </is>
      </c>
      <c r="C62" s="3" t="inlineStr">
        <is>
          <t>Учебная скважина 07 · Степное учебное / скв. 107 / Карбонатный пласт</t>
        </is>
      </c>
      <c r="D62" s="4" t="n">
        <v>45783</v>
      </c>
      <c r="E62" s="3" t="n">
        <v>2</v>
      </c>
      <c r="F62" s="3" t="inlineStr">
        <is>
          <t>Повтор метода</t>
        </is>
      </c>
      <c r="G62" s="3" t="inlineStr">
        <is>
          <t>Ингибитор коррозии + контроль остатка</t>
        </is>
      </c>
      <c r="H62" s="3" t="n">
        <v>187</v>
      </c>
      <c r="I62" s="3" t="n">
        <v>252</v>
      </c>
      <c r="J62" s="3">
        <f>MAX(I62-H62,0)</f>
        <v/>
      </c>
      <c r="K62" s="3" t="n">
        <v>40.9</v>
      </c>
      <c r="L62" s="3" t="n">
        <v>12800</v>
      </c>
      <c r="M62" s="3">
        <f>J62*K62*L62</f>
        <v/>
      </c>
      <c r="N62" s="3" t="n">
        <v>304500</v>
      </c>
      <c r="O62" s="3" t="n">
        <v>115000</v>
      </c>
      <c r="P62" s="3">
        <f>M62-N62-O62*J62/365</f>
        <v/>
      </c>
      <c r="Q62" s="3">
        <f>IFERROR(M62/(N62+O62*J62/365),0)</f>
        <v/>
      </c>
      <c r="R62" s="3">
        <f>IFERROR(N62/((M62/MAX(1,J62)*365)-O62)*12,0)</f>
        <v/>
      </c>
    </row>
    <row r="63">
      <c r="A63" s="3" t="inlineStr">
        <is>
          <t>EC-TRN-07-C2-B</t>
        </is>
      </c>
      <c r="B63" s="3" t="inlineStr">
        <is>
          <t>TRN-07</t>
        </is>
      </c>
      <c r="C63" s="3" t="inlineStr">
        <is>
          <t>Учебная скважина 07 · Степное учебное / скв. 107 / Карбонатный пласт</t>
        </is>
      </c>
      <c r="D63" s="4" t="n">
        <v>45783</v>
      </c>
      <c r="E63" s="3" t="n">
        <v>2</v>
      </c>
      <c r="F63" s="3" t="inlineStr">
        <is>
          <t>Новый подбор</t>
        </is>
      </c>
      <c r="G63" s="3" t="inlineStr">
        <is>
          <t>Ингибитор коррозии + контроль остатка · лабораторная корректировка</t>
        </is>
      </c>
      <c r="H63" s="3" t="n">
        <v>187</v>
      </c>
      <c r="I63" s="3" t="n">
        <v>282</v>
      </c>
      <c r="J63" s="3">
        <f>MAX(I63-H63,0)</f>
        <v/>
      </c>
      <c r="K63" s="3" t="n">
        <v>40.9</v>
      </c>
      <c r="L63" s="3" t="n">
        <v>12800</v>
      </c>
      <c r="M63" s="3">
        <f>J63*K63*L63</f>
        <v/>
      </c>
      <c r="N63" s="3" t="n">
        <v>544500</v>
      </c>
      <c r="O63" s="3" t="n">
        <v>165000</v>
      </c>
      <c r="P63" s="3">
        <f>M63-N63-O63*J63/365</f>
        <v/>
      </c>
      <c r="Q63" s="3">
        <f>IFERROR(M63/(N63+O63*J63/365),0)</f>
        <v/>
      </c>
      <c r="R63" s="3">
        <f>IFERROR(N63/((M63/MAX(1,J63)*365)-O63)*12,0)</f>
        <v/>
      </c>
    </row>
    <row r="64">
      <c r="A64" s="3" t="inlineStr">
        <is>
          <t>EC-TRN-07-C2-C</t>
        </is>
      </c>
      <c r="B64" s="3" t="inlineStr">
        <is>
          <t>TRN-07</t>
        </is>
      </c>
      <c r="C64" s="3" t="inlineStr">
        <is>
          <t>Учебная скважина 07 · Степное учебное / скв. 107 / Карбонатный пласт</t>
        </is>
      </c>
      <c r="D64" s="4" t="n">
        <v>45783</v>
      </c>
      <c r="E64" s="3" t="n">
        <v>2</v>
      </c>
      <c r="F64" s="3" t="inlineStr">
        <is>
          <t>Комплексная защита</t>
        </is>
      </c>
      <c r="G64" s="3" t="inlineStr">
        <is>
          <t>Комплекс: Ингибитор коррозии + контроль остатка + мониторинг</t>
        </is>
      </c>
      <c r="H64" s="3" t="n">
        <v>187</v>
      </c>
      <c r="I64" s="3" t="n">
        <v>312</v>
      </c>
      <c r="J64" s="3">
        <f>MAX(I64-H64,0)</f>
        <v/>
      </c>
      <c r="K64" s="3" t="n">
        <v>40.9</v>
      </c>
      <c r="L64" s="3" t="n">
        <v>12800</v>
      </c>
      <c r="M64" s="3">
        <f>J64*K64*L64</f>
        <v/>
      </c>
      <c r="N64" s="3" t="n">
        <v>784500</v>
      </c>
      <c r="O64" s="3" t="n">
        <v>235000</v>
      </c>
      <c r="P64" s="3">
        <f>M64-N64-O64*J64/365</f>
        <v/>
      </c>
      <c r="Q64" s="3">
        <f>IFERROR(M64/(N64+O64*J64/365),0)</f>
        <v/>
      </c>
      <c r="R64" s="3">
        <f>IFERROR(N64/((M64/MAX(1,J64)*365)-O64)*12,0)</f>
        <v/>
      </c>
    </row>
    <row r="65">
      <c r="A65" s="3" t="inlineStr">
        <is>
          <t>EC-TRN-07-C3-A</t>
        </is>
      </c>
      <c r="B65" s="3" t="inlineStr">
        <is>
          <t>TRN-07</t>
        </is>
      </c>
      <c r="C65" s="3" t="inlineStr">
        <is>
          <t>Учебная скважина 07 · Степное учебное / скв. 107 / Карбонатный пласт</t>
        </is>
      </c>
      <c r="D65" s="4" t="n">
        <v>46303</v>
      </c>
      <c r="E65" s="3" t="n">
        <v>3</v>
      </c>
      <c r="F65" s="3" t="inlineStr">
        <is>
          <t>Повтор метода</t>
        </is>
      </c>
      <c r="G65" s="3" t="inlineStr">
        <is>
          <t>Повторная корректировка: Подбор газосепаратора</t>
        </is>
      </c>
      <c r="H65" s="3" t="n">
        <v>520</v>
      </c>
      <c r="I65" s="3" t="n">
        <v>547</v>
      </c>
      <c r="J65" s="3">
        <f>MAX(I65-H65,0)</f>
        <v/>
      </c>
      <c r="K65" s="3" t="n">
        <v>40.9</v>
      </c>
      <c r="L65" s="3" t="n">
        <v>12800</v>
      </c>
      <c r="M65" s="3">
        <f>J65*K65*L65</f>
        <v/>
      </c>
      <c r="N65" s="3" t="n">
        <v>304500</v>
      </c>
      <c r="O65" s="3" t="n">
        <v>115000</v>
      </c>
      <c r="P65" s="3">
        <f>M65-N65-O65*J65/365</f>
        <v/>
      </c>
      <c r="Q65" s="3">
        <f>IFERROR(M65/(N65+O65*J65/365),0)</f>
        <v/>
      </c>
      <c r="R65" s="3">
        <f>IFERROR(N65/((M65/MAX(1,J65)*365)-O65)*12,0)</f>
        <v/>
      </c>
    </row>
    <row r="66">
      <c r="A66" s="3" t="inlineStr">
        <is>
          <t>EC-TRN-07-C3-B</t>
        </is>
      </c>
      <c r="B66" s="3" t="inlineStr">
        <is>
          <t>TRN-07</t>
        </is>
      </c>
      <c r="C66" s="3" t="inlineStr">
        <is>
          <t>Учебная скважина 07 · Степное учебное / скв. 107 / Карбонатный пласт</t>
        </is>
      </c>
      <c r="D66" s="4" t="n">
        <v>46303</v>
      </c>
      <c r="E66" s="3" t="n">
        <v>3</v>
      </c>
      <c r="F66" s="3" t="inlineStr">
        <is>
          <t>Новый подбор</t>
        </is>
      </c>
      <c r="G66" s="3" t="inlineStr">
        <is>
          <t>Повторная корректировка: Подбор газосепаратора · лабораторная корректировка</t>
        </is>
      </c>
      <c r="H66" s="3" t="n">
        <v>520</v>
      </c>
      <c r="I66" s="3" t="n">
        <v>577</v>
      </c>
      <c r="J66" s="3">
        <f>MAX(I66-H66,0)</f>
        <v/>
      </c>
      <c r="K66" s="3" t="n">
        <v>40.9</v>
      </c>
      <c r="L66" s="3" t="n">
        <v>12800</v>
      </c>
      <c r="M66" s="3">
        <f>J66*K66*L66</f>
        <v/>
      </c>
      <c r="N66" s="3" t="n">
        <v>544500</v>
      </c>
      <c r="O66" s="3" t="n">
        <v>165000</v>
      </c>
      <c r="P66" s="3">
        <f>M66-N66-O66*J66/365</f>
        <v/>
      </c>
      <c r="Q66" s="3">
        <f>IFERROR(M66/(N66+O66*J66/365),0)</f>
        <v/>
      </c>
      <c r="R66" s="3">
        <f>IFERROR(N66/((M66/MAX(1,J66)*365)-O66)*12,0)</f>
        <v/>
      </c>
    </row>
    <row r="67">
      <c r="A67" s="3" t="inlineStr">
        <is>
          <t>EC-TRN-07-C3-C</t>
        </is>
      </c>
      <c r="B67" s="3" t="inlineStr">
        <is>
          <t>TRN-07</t>
        </is>
      </c>
      <c r="C67" s="3" t="inlineStr">
        <is>
          <t>Учебная скважина 07 · Степное учебное / скв. 107 / Карбонатный пласт</t>
        </is>
      </c>
      <c r="D67" s="4" t="n">
        <v>46303</v>
      </c>
      <c r="E67" s="3" t="n">
        <v>3</v>
      </c>
      <c r="F67" s="3" t="inlineStr">
        <is>
          <t>Комплексная защита</t>
        </is>
      </c>
      <c r="G67" s="3" t="inlineStr">
        <is>
          <t>Комплекс: Повторная корректировка: Подбор газосепаратора + мониторинг</t>
        </is>
      </c>
      <c r="H67" s="3" t="n">
        <v>520</v>
      </c>
      <c r="I67" s="3" t="n">
        <v>607</v>
      </c>
      <c r="J67" s="3">
        <f>MAX(I67-H67,0)</f>
        <v/>
      </c>
      <c r="K67" s="3" t="n">
        <v>40.9</v>
      </c>
      <c r="L67" s="3" t="n">
        <v>12800</v>
      </c>
      <c r="M67" s="3">
        <f>J67*K67*L67</f>
        <v/>
      </c>
      <c r="N67" s="3" t="n">
        <v>784500</v>
      </c>
      <c r="O67" s="3" t="n">
        <v>235000</v>
      </c>
      <c r="P67" s="3">
        <f>M67-N67-O67*J67/365</f>
        <v/>
      </c>
      <c r="Q67" s="3">
        <f>IFERROR(M67/(N67+O67*J67/365),0)</f>
        <v/>
      </c>
      <c r="R67" s="3">
        <f>IFERROR(N67/((M67/MAX(1,J67)*365)-O67)*12,0)</f>
        <v/>
      </c>
    </row>
    <row r="68">
      <c r="A68" s="3" t="inlineStr">
        <is>
          <t>EC-TRN-08-C1-A</t>
        </is>
      </c>
      <c r="B68" s="3" t="inlineStr">
        <is>
          <t>TRN-08</t>
        </is>
      </c>
      <c r="C68" s="3" t="inlineStr">
        <is>
          <t>Учебная скважина 08 · Лесное учебное / скв. 108 / Тульский горизонт</t>
        </is>
      </c>
      <c r="D68" s="4" t="n">
        <v>45379</v>
      </c>
      <c r="E68" s="3" t="n">
        <v>1</v>
      </c>
      <c r="F68" s="3" t="inlineStr">
        <is>
          <t>Повтор метода</t>
        </is>
      </c>
      <c r="G68" s="3" t="inlineStr">
        <is>
          <t>Ингибитор солеотложений</t>
        </is>
      </c>
      <c r="H68" s="3" t="n">
        <v>137</v>
      </c>
      <c r="I68" s="3" t="n">
        <v>198</v>
      </c>
      <c r="J68" s="3">
        <f>MAX(I68-H68,0)</f>
        <v/>
      </c>
      <c r="K68" s="3" t="n">
        <v>40.5</v>
      </c>
      <c r="L68" s="3" t="n">
        <v>10400</v>
      </c>
      <c r="M68" s="3">
        <f>J68*K68*L68</f>
        <v/>
      </c>
      <c r="N68" s="3" t="n">
        <v>308000</v>
      </c>
      <c r="O68" s="3" t="n">
        <v>115000</v>
      </c>
      <c r="P68" s="3">
        <f>M68-N68-O68*J68/365</f>
        <v/>
      </c>
      <c r="Q68" s="3">
        <f>IFERROR(M68/(N68+O68*J68/365),0)</f>
        <v/>
      </c>
      <c r="R68" s="3">
        <f>IFERROR(N68/((M68/MAX(1,J68)*365)-O68)*12,0)</f>
        <v/>
      </c>
    </row>
    <row r="69">
      <c r="A69" s="3" t="inlineStr">
        <is>
          <t>EC-TRN-08-C1-B</t>
        </is>
      </c>
      <c r="B69" s="3" t="inlineStr">
        <is>
          <t>TRN-08</t>
        </is>
      </c>
      <c r="C69" s="3" t="inlineStr">
        <is>
          <t>Учебная скважина 08 · Лесное учебное / скв. 108 / Тульский горизонт</t>
        </is>
      </c>
      <c r="D69" s="4" t="n">
        <v>45379</v>
      </c>
      <c r="E69" s="3" t="n">
        <v>1</v>
      </c>
      <c r="F69" s="3" t="inlineStr">
        <is>
          <t>Новый подбор</t>
        </is>
      </c>
      <c r="G69" s="3" t="inlineStr">
        <is>
          <t>Ингибитор солеотложений · лабораторная корректировка</t>
        </is>
      </c>
      <c r="H69" s="3" t="n">
        <v>137</v>
      </c>
      <c r="I69" s="3" t="n">
        <v>228</v>
      </c>
      <c r="J69" s="3">
        <f>MAX(I69-H69,0)</f>
        <v/>
      </c>
      <c r="K69" s="3" t="n">
        <v>40.5</v>
      </c>
      <c r="L69" s="3" t="n">
        <v>10400</v>
      </c>
      <c r="M69" s="3">
        <f>J69*K69*L69</f>
        <v/>
      </c>
      <c r="N69" s="3" t="n">
        <v>548000</v>
      </c>
      <c r="O69" s="3" t="n">
        <v>165000</v>
      </c>
      <c r="P69" s="3">
        <f>M69-N69-O69*J69/365</f>
        <v/>
      </c>
      <c r="Q69" s="3">
        <f>IFERROR(M69/(N69+O69*J69/365),0)</f>
        <v/>
      </c>
      <c r="R69" s="3">
        <f>IFERROR(N69/((M69/MAX(1,J69)*365)-O69)*12,0)</f>
        <v/>
      </c>
    </row>
    <row r="70">
      <c r="A70" s="3" t="inlineStr">
        <is>
          <t>EC-TRN-08-C1-C</t>
        </is>
      </c>
      <c r="B70" s="3" t="inlineStr">
        <is>
          <t>TRN-08</t>
        </is>
      </c>
      <c r="C70" s="3" t="inlineStr">
        <is>
          <t>Учебная скважина 08 · Лесное учебное / скв. 108 / Тульский горизонт</t>
        </is>
      </c>
      <c r="D70" s="4" t="n">
        <v>45379</v>
      </c>
      <c r="E70" s="3" t="n">
        <v>1</v>
      </c>
      <c r="F70" s="3" t="inlineStr">
        <is>
          <t>Комплексная защита</t>
        </is>
      </c>
      <c r="G70" s="3" t="inlineStr">
        <is>
          <t>Комплекс: Ингибитор солеотложений + мониторинг</t>
        </is>
      </c>
      <c r="H70" s="3" t="n">
        <v>137</v>
      </c>
      <c r="I70" s="3" t="n">
        <v>258</v>
      </c>
      <c r="J70" s="3">
        <f>MAX(I70-H70,0)</f>
        <v/>
      </c>
      <c r="K70" s="3" t="n">
        <v>40.5</v>
      </c>
      <c r="L70" s="3" t="n">
        <v>10400</v>
      </c>
      <c r="M70" s="3">
        <f>J70*K70*L70</f>
        <v/>
      </c>
      <c r="N70" s="3" t="n">
        <v>788000</v>
      </c>
      <c r="O70" s="3" t="n">
        <v>235000</v>
      </c>
      <c r="P70" s="3">
        <f>M70-N70-O70*J70/365</f>
        <v/>
      </c>
      <c r="Q70" s="3">
        <f>IFERROR(M70/(N70+O70*J70/365),0)</f>
        <v/>
      </c>
      <c r="R70" s="3">
        <f>IFERROR(N70/((M70/MAX(1,J70)*365)-O70)*12,0)</f>
        <v/>
      </c>
    </row>
    <row r="71">
      <c r="A71" s="3" t="inlineStr">
        <is>
          <t>EC-TRN-08-C2-A</t>
        </is>
      </c>
      <c r="B71" s="3" t="inlineStr">
        <is>
          <t>TRN-08</t>
        </is>
      </c>
      <c r="C71" s="3" t="inlineStr">
        <is>
          <t>Учебная скважина 08 · Лесное учебное / скв. 108 / Тульский горизонт</t>
        </is>
      </c>
      <c r="D71" s="4" t="n">
        <v>45883</v>
      </c>
      <c r="E71" s="3" t="n">
        <v>2</v>
      </c>
      <c r="F71" s="3" t="inlineStr">
        <is>
          <t>Повтор метода</t>
        </is>
      </c>
      <c r="G71" s="3" t="inlineStr">
        <is>
          <t>Повторная корректировка: Фильтрация и контроль фракций</t>
        </is>
      </c>
      <c r="H71" s="3" t="n">
        <v>499</v>
      </c>
      <c r="I71" s="3" t="n">
        <v>577</v>
      </c>
      <c r="J71" s="3">
        <f>MAX(I71-H71,0)</f>
        <v/>
      </c>
      <c r="K71" s="3" t="n">
        <v>40.5</v>
      </c>
      <c r="L71" s="3" t="n">
        <v>10400</v>
      </c>
      <c r="M71" s="3">
        <f>J71*K71*L71</f>
        <v/>
      </c>
      <c r="N71" s="3" t="n">
        <v>308000</v>
      </c>
      <c r="O71" s="3" t="n">
        <v>115000</v>
      </c>
      <c r="P71" s="3">
        <f>M71-N71-O71*J71/365</f>
        <v/>
      </c>
      <c r="Q71" s="3">
        <f>IFERROR(M71/(N71+O71*J71/365),0)</f>
        <v/>
      </c>
      <c r="R71" s="3">
        <f>IFERROR(N71/((M71/MAX(1,J71)*365)-O71)*12,0)</f>
        <v/>
      </c>
    </row>
    <row r="72">
      <c r="A72" s="3" t="inlineStr">
        <is>
          <t>EC-TRN-08-C2-B</t>
        </is>
      </c>
      <c r="B72" s="3" t="inlineStr">
        <is>
          <t>TRN-08</t>
        </is>
      </c>
      <c r="C72" s="3" t="inlineStr">
        <is>
          <t>Учебная скважина 08 · Лесное учебное / скв. 108 / Тульский горизонт</t>
        </is>
      </c>
      <c r="D72" s="4" t="n">
        <v>45883</v>
      </c>
      <c r="E72" s="3" t="n">
        <v>2</v>
      </c>
      <c r="F72" s="3" t="inlineStr">
        <is>
          <t>Новый подбор</t>
        </is>
      </c>
      <c r="G72" s="3" t="inlineStr">
        <is>
          <t>Повторная корректировка: Фильтрация и контроль фракций · лабораторная корректировка</t>
        </is>
      </c>
      <c r="H72" s="3" t="n">
        <v>499</v>
      </c>
      <c r="I72" s="3" t="n">
        <v>607</v>
      </c>
      <c r="J72" s="3">
        <f>MAX(I72-H72,0)</f>
        <v/>
      </c>
      <c r="K72" s="3" t="n">
        <v>40.5</v>
      </c>
      <c r="L72" s="3" t="n">
        <v>10400</v>
      </c>
      <c r="M72" s="3">
        <f>J72*K72*L72</f>
        <v/>
      </c>
      <c r="N72" s="3" t="n">
        <v>548000</v>
      </c>
      <c r="O72" s="3" t="n">
        <v>165000</v>
      </c>
      <c r="P72" s="3">
        <f>M72-N72-O72*J72/365</f>
        <v/>
      </c>
      <c r="Q72" s="3">
        <f>IFERROR(M72/(N72+O72*J72/365),0)</f>
        <v/>
      </c>
      <c r="R72" s="3">
        <f>IFERROR(N72/((M72/MAX(1,J72)*365)-O72)*12,0)</f>
        <v/>
      </c>
    </row>
    <row r="73">
      <c r="A73" s="3" t="inlineStr">
        <is>
          <t>EC-TRN-08-C2-C</t>
        </is>
      </c>
      <c r="B73" s="3" t="inlineStr">
        <is>
          <t>TRN-08</t>
        </is>
      </c>
      <c r="C73" s="3" t="inlineStr">
        <is>
          <t>Учебная скважина 08 · Лесное учебное / скв. 108 / Тульский горизонт</t>
        </is>
      </c>
      <c r="D73" s="4" t="n">
        <v>45883</v>
      </c>
      <c r="E73" s="3" t="n">
        <v>2</v>
      </c>
      <c r="F73" s="3" t="inlineStr">
        <is>
          <t>Комплексная защита</t>
        </is>
      </c>
      <c r="G73" s="3" t="inlineStr">
        <is>
          <t>Комплекс: Повторная корректировка: Фильтрация и контроль фракций + мониторинг</t>
        </is>
      </c>
      <c r="H73" s="3" t="n">
        <v>499</v>
      </c>
      <c r="I73" s="3" t="n">
        <v>637</v>
      </c>
      <c r="J73" s="3">
        <f>MAX(I73-H73,0)</f>
        <v/>
      </c>
      <c r="K73" s="3" t="n">
        <v>40.5</v>
      </c>
      <c r="L73" s="3" t="n">
        <v>10400</v>
      </c>
      <c r="M73" s="3">
        <f>J73*K73*L73</f>
        <v/>
      </c>
      <c r="N73" s="3" t="n">
        <v>788000</v>
      </c>
      <c r="O73" s="3" t="n">
        <v>235000</v>
      </c>
      <c r="P73" s="3">
        <f>M73-N73-O73*J73/365</f>
        <v/>
      </c>
      <c r="Q73" s="3">
        <f>IFERROR(M73/(N73+O73*J73/365),0)</f>
        <v/>
      </c>
      <c r="R73" s="3">
        <f>IFERROR(N73/((M73/MAX(1,J73)*365)-O73)*12,0)</f>
        <v/>
      </c>
    </row>
    <row r="74">
      <c r="A74" s="3" t="inlineStr">
        <is>
          <t>EC-TRN-08-C3-A</t>
        </is>
      </c>
      <c r="B74" s="3" t="inlineStr">
        <is>
          <t>TRN-08</t>
        </is>
      </c>
      <c r="C74" s="3" t="inlineStr">
        <is>
          <t>Учебная скважина 08 · Лесное учебное / скв. 108 / Тульский горизонт</t>
        </is>
      </c>
      <c r="D74" s="4" t="n">
        <v>46107</v>
      </c>
      <c r="E74" s="3" t="n">
        <v>3</v>
      </c>
      <c r="F74" s="3" t="inlineStr">
        <is>
          <t>Повтор метода</t>
        </is>
      </c>
      <c r="G74" s="3" t="inlineStr">
        <is>
          <t>Повторная корректировка: Биоцидная обработка + контроль</t>
        </is>
      </c>
      <c r="H74" s="3" t="n">
        <v>218</v>
      </c>
      <c r="I74" s="3" t="n">
        <v>258</v>
      </c>
      <c r="J74" s="3">
        <f>MAX(I74-H74,0)</f>
        <v/>
      </c>
      <c r="K74" s="3" t="n">
        <v>40.5</v>
      </c>
      <c r="L74" s="3" t="n">
        <v>10400</v>
      </c>
      <c r="M74" s="3">
        <f>J74*K74*L74</f>
        <v/>
      </c>
      <c r="N74" s="3" t="n">
        <v>308000</v>
      </c>
      <c r="O74" s="3" t="n">
        <v>115000</v>
      </c>
      <c r="P74" s="3">
        <f>M74-N74-O74*J74/365</f>
        <v/>
      </c>
      <c r="Q74" s="3">
        <f>IFERROR(M74/(N74+O74*J74/365),0)</f>
        <v/>
      </c>
      <c r="R74" s="3">
        <f>IFERROR(N74/((M74/MAX(1,J74)*365)-O74)*12,0)</f>
        <v/>
      </c>
    </row>
    <row r="75">
      <c r="A75" s="3" t="inlineStr">
        <is>
          <t>EC-TRN-08-C3-B</t>
        </is>
      </c>
      <c r="B75" s="3" t="inlineStr">
        <is>
          <t>TRN-08</t>
        </is>
      </c>
      <c r="C75" s="3" t="inlineStr">
        <is>
          <t>Учебная скважина 08 · Лесное учебное / скв. 108 / Тульский горизонт</t>
        </is>
      </c>
      <c r="D75" s="4" t="n">
        <v>46107</v>
      </c>
      <c r="E75" s="3" t="n">
        <v>3</v>
      </c>
      <c r="F75" s="3" t="inlineStr">
        <is>
          <t>Новый подбор</t>
        </is>
      </c>
      <c r="G75" s="3" t="inlineStr">
        <is>
          <t>Повторная корректировка: Биоцидная обработка + контроль · лабораторная корректировка</t>
        </is>
      </c>
      <c r="H75" s="3" t="n">
        <v>218</v>
      </c>
      <c r="I75" s="3" t="n">
        <v>288</v>
      </c>
      <c r="J75" s="3">
        <f>MAX(I75-H75,0)</f>
        <v/>
      </c>
      <c r="K75" s="3" t="n">
        <v>40.5</v>
      </c>
      <c r="L75" s="3" t="n">
        <v>10400</v>
      </c>
      <c r="M75" s="3">
        <f>J75*K75*L75</f>
        <v/>
      </c>
      <c r="N75" s="3" t="n">
        <v>548000</v>
      </c>
      <c r="O75" s="3" t="n">
        <v>165000</v>
      </c>
      <c r="P75" s="3">
        <f>M75-N75-O75*J75/365</f>
        <v/>
      </c>
      <c r="Q75" s="3">
        <f>IFERROR(M75/(N75+O75*J75/365),0)</f>
        <v/>
      </c>
      <c r="R75" s="3">
        <f>IFERROR(N75/((M75/MAX(1,J75)*365)-O75)*12,0)</f>
        <v/>
      </c>
    </row>
    <row r="76">
      <c r="A76" s="3" t="inlineStr">
        <is>
          <t>EC-TRN-08-C3-C</t>
        </is>
      </c>
      <c r="B76" s="3" t="inlineStr">
        <is>
          <t>TRN-08</t>
        </is>
      </c>
      <c r="C76" s="3" t="inlineStr">
        <is>
          <t>Учебная скважина 08 · Лесное учебное / скв. 108 / Тульский горизонт</t>
        </is>
      </c>
      <c r="D76" s="4" t="n">
        <v>46107</v>
      </c>
      <c r="E76" s="3" t="n">
        <v>3</v>
      </c>
      <c r="F76" s="3" t="inlineStr">
        <is>
          <t>Комплексная защита</t>
        </is>
      </c>
      <c r="G76" s="3" t="inlineStr">
        <is>
          <t>Комплекс: Повторная корректировка: Биоцидная обработка + контроль + мониторинг</t>
        </is>
      </c>
      <c r="H76" s="3" t="n">
        <v>218</v>
      </c>
      <c r="I76" s="3" t="n">
        <v>318</v>
      </c>
      <c r="J76" s="3">
        <f>MAX(I76-H76,0)</f>
        <v/>
      </c>
      <c r="K76" s="3" t="n">
        <v>40.5</v>
      </c>
      <c r="L76" s="3" t="n">
        <v>10400</v>
      </c>
      <c r="M76" s="3">
        <f>J76*K76*L76</f>
        <v/>
      </c>
      <c r="N76" s="3" t="n">
        <v>788000</v>
      </c>
      <c r="O76" s="3" t="n">
        <v>235000</v>
      </c>
      <c r="P76" s="3">
        <f>M76-N76-O76*J76/365</f>
        <v/>
      </c>
      <c r="Q76" s="3">
        <f>IFERROR(M76/(N76+O76*J76/365),0)</f>
        <v/>
      </c>
      <c r="R76" s="3">
        <f>IFERROR(N76/((M76/MAX(1,J76)*365)-O76)*12,0)</f>
        <v/>
      </c>
    </row>
    <row r="77">
      <c r="A77" s="3" t="inlineStr">
        <is>
          <t>EC-TRN-09-C1-A</t>
        </is>
      </c>
      <c r="B77" s="3" t="inlineStr">
        <is>
          <t>TRN-09</t>
        </is>
      </c>
      <c r="C77" s="3" t="inlineStr">
        <is>
          <t>Учебная скважина 09 · Западное учебное / скв. 109 / Бобриковский горизонт</t>
        </is>
      </c>
      <c r="D77" s="4" t="n">
        <v>45453</v>
      </c>
      <c r="E77" s="3" t="n">
        <v>1</v>
      </c>
      <c r="F77" s="3" t="inlineStr">
        <is>
          <t>Повтор метода</t>
        </is>
      </c>
      <c r="G77" s="3" t="inlineStr">
        <is>
          <t>Повторная корректировка: Подбор растворителя и профилактики</t>
        </is>
      </c>
      <c r="H77" s="3" t="n">
        <v>209</v>
      </c>
      <c r="I77" s="3" t="n">
        <v>283</v>
      </c>
      <c r="J77" s="3">
        <f>MAX(I77-H77,0)</f>
        <v/>
      </c>
      <c r="K77" s="3" t="n">
        <v>36.4</v>
      </c>
      <c r="L77" s="3" t="n">
        <v>12100</v>
      </c>
      <c r="M77" s="3">
        <f>J77*K77*L77</f>
        <v/>
      </c>
      <c r="N77" s="3" t="n">
        <v>311500</v>
      </c>
      <c r="O77" s="3" t="n">
        <v>115000</v>
      </c>
      <c r="P77" s="3">
        <f>M77-N77-O77*J77/365</f>
        <v/>
      </c>
      <c r="Q77" s="3">
        <f>IFERROR(M77/(N77+O77*J77/365),0)</f>
        <v/>
      </c>
      <c r="R77" s="3">
        <f>IFERROR(N77/((M77/MAX(1,J77)*365)-O77)*12,0)</f>
        <v/>
      </c>
    </row>
    <row r="78">
      <c r="A78" s="3" t="inlineStr">
        <is>
          <t>EC-TRN-09-C1-B</t>
        </is>
      </c>
      <c r="B78" s="3" t="inlineStr">
        <is>
          <t>TRN-09</t>
        </is>
      </c>
      <c r="C78" s="3" t="inlineStr">
        <is>
          <t>Учебная скважина 09 · Западное учебное / скв. 109 / Бобриковский горизонт</t>
        </is>
      </c>
      <c r="D78" s="4" t="n">
        <v>45453</v>
      </c>
      <c r="E78" s="3" t="n">
        <v>1</v>
      </c>
      <c r="F78" s="3" t="inlineStr">
        <is>
          <t>Новый подбор</t>
        </is>
      </c>
      <c r="G78" s="3" t="inlineStr">
        <is>
          <t>Повторная корректировка: Подбор растворителя и профилактики · лабораторная корректировка</t>
        </is>
      </c>
      <c r="H78" s="3" t="n">
        <v>209</v>
      </c>
      <c r="I78" s="3" t="n">
        <v>313</v>
      </c>
      <c r="J78" s="3">
        <f>MAX(I78-H78,0)</f>
        <v/>
      </c>
      <c r="K78" s="3" t="n">
        <v>36.4</v>
      </c>
      <c r="L78" s="3" t="n">
        <v>12100</v>
      </c>
      <c r="M78" s="3">
        <f>J78*K78*L78</f>
        <v/>
      </c>
      <c r="N78" s="3" t="n">
        <v>551500</v>
      </c>
      <c r="O78" s="3" t="n">
        <v>165000</v>
      </c>
      <c r="P78" s="3">
        <f>M78-N78-O78*J78/365</f>
        <v/>
      </c>
      <c r="Q78" s="3">
        <f>IFERROR(M78/(N78+O78*J78/365),0)</f>
        <v/>
      </c>
      <c r="R78" s="3">
        <f>IFERROR(N78/((M78/MAX(1,J78)*365)-O78)*12,0)</f>
        <v/>
      </c>
    </row>
    <row r="79">
      <c r="A79" s="3" t="inlineStr">
        <is>
          <t>EC-TRN-09-C1-C</t>
        </is>
      </c>
      <c r="B79" s="3" t="inlineStr">
        <is>
          <t>TRN-09</t>
        </is>
      </c>
      <c r="C79" s="3" t="inlineStr">
        <is>
          <t>Учебная скважина 09 · Западное учебное / скв. 109 / Бобриковский горизонт</t>
        </is>
      </c>
      <c r="D79" s="4" t="n">
        <v>45453</v>
      </c>
      <c r="E79" s="3" t="n">
        <v>1</v>
      </c>
      <c r="F79" s="3" t="inlineStr">
        <is>
          <t>Комплексная защита</t>
        </is>
      </c>
      <c r="G79" s="3" t="inlineStr">
        <is>
          <t>Комплекс: Повторная корректировка: Подбор растворителя и профилактики + мониторинг</t>
        </is>
      </c>
      <c r="H79" s="3" t="n">
        <v>209</v>
      </c>
      <c r="I79" s="3" t="n">
        <v>343</v>
      </c>
      <c r="J79" s="3">
        <f>MAX(I79-H79,0)</f>
        <v/>
      </c>
      <c r="K79" s="3" t="n">
        <v>36.4</v>
      </c>
      <c r="L79" s="3" t="n">
        <v>12100</v>
      </c>
      <c r="M79" s="3">
        <f>J79*K79*L79</f>
        <v/>
      </c>
      <c r="N79" s="3" t="n">
        <v>791500</v>
      </c>
      <c r="O79" s="3" t="n">
        <v>235000</v>
      </c>
      <c r="P79" s="3">
        <f>M79-N79-O79*J79/365</f>
        <v/>
      </c>
      <c r="Q79" s="3">
        <f>IFERROR(M79/(N79+O79*J79/365),0)</f>
        <v/>
      </c>
      <c r="R79" s="3">
        <f>IFERROR(N79/((M79/MAX(1,J79)*365)-O79)*12,0)</f>
        <v/>
      </c>
    </row>
    <row r="80">
      <c r="A80" s="3" t="inlineStr">
        <is>
          <t>EC-TRN-09-C2-A</t>
        </is>
      </c>
      <c r="B80" s="3" t="inlineStr">
        <is>
          <t>TRN-09</t>
        </is>
      </c>
      <c r="C80" s="3" t="inlineStr">
        <is>
          <t>Учебная скважина 09 · Западное учебное / скв. 109 / Бобриковский горизонт</t>
        </is>
      </c>
      <c r="D80" s="4" t="n">
        <v>45983</v>
      </c>
      <c r="E80" s="3" t="n">
        <v>2</v>
      </c>
      <c r="F80" s="3" t="inlineStr">
        <is>
          <t>Повтор метода</t>
        </is>
      </c>
      <c r="G80" s="3" t="inlineStr">
        <is>
          <t>Подбор деэмульгатора</t>
        </is>
      </c>
      <c r="H80" s="3" t="n">
        <v>524</v>
      </c>
      <c r="I80" s="3" t="n">
        <v>560</v>
      </c>
      <c r="J80" s="3">
        <f>MAX(I80-H80,0)</f>
        <v/>
      </c>
      <c r="K80" s="3" t="n">
        <v>36.4</v>
      </c>
      <c r="L80" s="3" t="n">
        <v>12100</v>
      </c>
      <c r="M80" s="3">
        <f>J80*K80*L80</f>
        <v/>
      </c>
      <c r="N80" s="3" t="n">
        <v>311500</v>
      </c>
      <c r="O80" s="3" t="n">
        <v>115000</v>
      </c>
      <c r="P80" s="3">
        <f>M80-N80-O80*J80/365</f>
        <v/>
      </c>
      <c r="Q80" s="3">
        <f>IFERROR(M80/(N80+O80*J80/365),0)</f>
        <v/>
      </c>
      <c r="R80" s="3">
        <f>IFERROR(N80/((M80/MAX(1,J80)*365)-O80)*12,0)</f>
        <v/>
      </c>
    </row>
    <row r="81">
      <c r="A81" s="3" t="inlineStr">
        <is>
          <t>EC-TRN-09-C2-B</t>
        </is>
      </c>
      <c r="B81" s="3" t="inlineStr">
        <is>
          <t>TRN-09</t>
        </is>
      </c>
      <c r="C81" s="3" t="inlineStr">
        <is>
          <t>Учебная скважина 09 · Западное учебное / скв. 109 / Бобриковский горизонт</t>
        </is>
      </c>
      <c r="D81" s="4" t="n">
        <v>45983</v>
      </c>
      <c r="E81" s="3" t="n">
        <v>2</v>
      </c>
      <c r="F81" s="3" t="inlineStr">
        <is>
          <t>Новый подбор</t>
        </is>
      </c>
      <c r="G81" s="3" t="inlineStr">
        <is>
          <t>Подбор деэмульгатора · лабораторная корректировка</t>
        </is>
      </c>
      <c r="H81" s="3" t="n">
        <v>524</v>
      </c>
      <c r="I81" s="3" t="n">
        <v>590</v>
      </c>
      <c r="J81" s="3">
        <f>MAX(I81-H81,0)</f>
        <v/>
      </c>
      <c r="K81" s="3" t="n">
        <v>36.4</v>
      </c>
      <c r="L81" s="3" t="n">
        <v>12100</v>
      </c>
      <c r="M81" s="3">
        <f>J81*K81*L81</f>
        <v/>
      </c>
      <c r="N81" s="3" t="n">
        <v>551500</v>
      </c>
      <c r="O81" s="3" t="n">
        <v>165000</v>
      </c>
      <c r="P81" s="3">
        <f>M81-N81-O81*J81/365</f>
        <v/>
      </c>
      <c r="Q81" s="3">
        <f>IFERROR(M81/(N81+O81*J81/365),0)</f>
        <v/>
      </c>
      <c r="R81" s="3">
        <f>IFERROR(N81/((M81/MAX(1,J81)*365)-O81)*12,0)</f>
        <v/>
      </c>
    </row>
    <row r="82">
      <c r="A82" s="3" t="inlineStr">
        <is>
          <t>EC-TRN-09-C2-C</t>
        </is>
      </c>
      <c r="B82" s="3" t="inlineStr">
        <is>
          <t>TRN-09</t>
        </is>
      </c>
      <c r="C82" s="3" t="inlineStr">
        <is>
          <t>Учебная скважина 09 · Западное учебное / скв. 109 / Бобриковский горизонт</t>
        </is>
      </c>
      <c r="D82" s="4" t="n">
        <v>45983</v>
      </c>
      <c r="E82" s="3" t="n">
        <v>2</v>
      </c>
      <c r="F82" s="3" t="inlineStr">
        <is>
          <t>Комплексная защита</t>
        </is>
      </c>
      <c r="G82" s="3" t="inlineStr">
        <is>
          <t>Комплекс: Подбор деэмульгатора + мониторинг</t>
        </is>
      </c>
      <c r="H82" s="3" t="n">
        <v>524</v>
      </c>
      <c r="I82" s="3" t="n">
        <v>620</v>
      </c>
      <c r="J82" s="3">
        <f>MAX(I82-H82,0)</f>
        <v/>
      </c>
      <c r="K82" s="3" t="n">
        <v>36.4</v>
      </c>
      <c r="L82" s="3" t="n">
        <v>12100</v>
      </c>
      <c r="M82" s="3">
        <f>J82*K82*L82</f>
        <v/>
      </c>
      <c r="N82" s="3" t="n">
        <v>791500</v>
      </c>
      <c r="O82" s="3" t="n">
        <v>235000</v>
      </c>
      <c r="P82" s="3">
        <f>M82-N82-O82*J82/365</f>
        <v/>
      </c>
      <c r="Q82" s="3">
        <f>IFERROR(M82/(N82+O82*J82/365),0)</f>
        <v/>
      </c>
      <c r="R82" s="3">
        <f>IFERROR(N82/((M82/MAX(1,J82)*365)-O82)*12,0)</f>
        <v/>
      </c>
    </row>
    <row r="83">
      <c r="A83" s="3" t="inlineStr">
        <is>
          <t>EC-TRN-09-C3-A</t>
        </is>
      </c>
      <c r="B83" s="3" t="inlineStr">
        <is>
          <t>TRN-09</t>
        </is>
      </c>
      <c r="C83" s="3" t="inlineStr">
        <is>
          <t>Учебная скважина 09 · Западное учебное / скв. 109 / Бобриковский горизонт</t>
        </is>
      </c>
      <c r="D83" s="4" t="n">
        <v>46181</v>
      </c>
      <c r="E83" s="3" t="n">
        <v>3</v>
      </c>
      <c r="F83" s="3" t="inlineStr">
        <is>
          <t>Повтор метода</t>
        </is>
      </c>
      <c r="G83" s="3" t="inlineStr">
        <is>
          <t>Ингибитор солеотложений</t>
        </is>
      </c>
      <c r="H83" s="3" t="n">
        <v>191</v>
      </c>
      <c r="I83" s="3" t="n">
        <v>244</v>
      </c>
      <c r="J83" s="3">
        <f>MAX(I83-H83,0)</f>
        <v/>
      </c>
      <c r="K83" s="3" t="n">
        <v>36.4</v>
      </c>
      <c r="L83" s="3" t="n">
        <v>12100</v>
      </c>
      <c r="M83" s="3">
        <f>J83*K83*L83</f>
        <v/>
      </c>
      <c r="N83" s="3" t="n">
        <v>311500</v>
      </c>
      <c r="O83" s="3" t="n">
        <v>115000</v>
      </c>
      <c r="P83" s="3">
        <f>M83-N83-O83*J83/365</f>
        <v/>
      </c>
      <c r="Q83" s="3">
        <f>IFERROR(M83/(N83+O83*J83/365),0)</f>
        <v/>
      </c>
      <c r="R83" s="3">
        <f>IFERROR(N83/((M83/MAX(1,J83)*365)-O83)*12,0)</f>
        <v/>
      </c>
    </row>
    <row r="84">
      <c r="A84" s="3" t="inlineStr">
        <is>
          <t>EC-TRN-09-C3-B</t>
        </is>
      </c>
      <c r="B84" s="3" t="inlineStr">
        <is>
          <t>TRN-09</t>
        </is>
      </c>
      <c r="C84" s="3" t="inlineStr">
        <is>
          <t>Учебная скважина 09 · Западное учебное / скв. 109 / Бобриковский горизонт</t>
        </is>
      </c>
      <c r="D84" s="4" t="n">
        <v>46181</v>
      </c>
      <c r="E84" s="3" t="n">
        <v>3</v>
      </c>
      <c r="F84" s="3" t="inlineStr">
        <is>
          <t>Новый подбор</t>
        </is>
      </c>
      <c r="G84" s="3" t="inlineStr">
        <is>
          <t>Ингибитор солеотложений · лабораторная корректировка</t>
        </is>
      </c>
      <c r="H84" s="3" t="n">
        <v>191</v>
      </c>
      <c r="I84" s="3" t="n">
        <v>274</v>
      </c>
      <c r="J84" s="3">
        <f>MAX(I84-H84,0)</f>
        <v/>
      </c>
      <c r="K84" s="3" t="n">
        <v>36.4</v>
      </c>
      <c r="L84" s="3" t="n">
        <v>12100</v>
      </c>
      <c r="M84" s="3">
        <f>J84*K84*L84</f>
        <v/>
      </c>
      <c r="N84" s="3" t="n">
        <v>551500</v>
      </c>
      <c r="O84" s="3" t="n">
        <v>165000</v>
      </c>
      <c r="P84" s="3">
        <f>M84-N84-O84*J84/365</f>
        <v/>
      </c>
      <c r="Q84" s="3">
        <f>IFERROR(M84/(N84+O84*J84/365),0)</f>
        <v/>
      </c>
      <c r="R84" s="3">
        <f>IFERROR(N84/((M84/MAX(1,J84)*365)-O84)*12,0)</f>
        <v/>
      </c>
    </row>
    <row r="85">
      <c r="A85" s="3" t="inlineStr">
        <is>
          <t>EC-TRN-09-C3-C</t>
        </is>
      </c>
      <c r="B85" s="3" t="inlineStr">
        <is>
          <t>TRN-09</t>
        </is>
      </c>
      <c r="C85" s="3" t="inlineStr">
        <is>
          <t>Учебная скважина 09 · Западное учебное / скв. 109 / Бобриковский горизонт</t>
        </is>
      </c>
      <c r="D85" s="4" t="n">
        <v>46181</v>
      </c>
      <c r="E85" s="3" t="n">
        <v>3</v>
      </c>
      <c r="F85" s="3" t="inlineStr">
        <is>
          <t>Комплексная защита</t>
        </is>
      </c>
      <c r="G85" s="3" t="inlineStr">
        <is>
          <t>Комплекс: Ингибитор солеотложений + мониторинг</t>
        </is>
      </c>
      <c r="H85" s="3" t="n">
        <v>191</v>
      </c>
      <c r="I85" s="3" t="n">
        <v>304</v>
      </c>
      <c r="J85" s="3">
        <f>MAX(I85-H85,0)</f>
        <v/>
      </c>
      <c r="K85" s="3" t="n">
        <v>36.4</v>
      </c>
      <c r="L85" s="3" t="n">
        <v>12100</v>
      </c>
      <c r="M85" s="3">
        <f>J85*K85*L85</f>
        <v/>
      </c>
      <c r="N85" s="3" t="n">
        <v>791500</v>
      </c>
      <c r="O85" s="3" t="n">
        <v>235000</v>
      </c>
      <c r="P85" s="3">
        <f>M85-N85-O85*J85/365</f>
        <v/>
      </c>
      <c r="Q85" s="3">
        <f>IFERROR(M85/(N85+O85*J85/365),0)</f>
        <v/>
      </c>
      <c r="R85" s="3">
        <f>IFERROR(N85/((M85/MAX(1,J85)*365)-O85)*12,0)</f>
        <v/>
      </c>
    </row>
    <row r="86">
      <c r="A86" s="3" t="inlineStr">
        <is>
          <t>EC-TRN-10-C1-A</t>
        </is>
      </c>
      <c r="B86" s="3" t="inlineStr">
        <is>
          <t>TRN-10</t>
        </is>
      </c>
      <c r="C86" s="3" t="inlineStr">
        <is>
          <t>Учебная скважина 10 · Восточное учебное / скв. 110 / Песчаный горизонт</t>
        </is>
      </c>
      <c r="D86" s="4" t="n">
        <v>45553</v>
      </c>
      <c r="E86" s="3" t="n">
        <v>1</v>
      </c>
      <c r="F86" s="3" t="inlineStr">
        <is>
          <t>Повтор метода</t>
        </is>
      </c>
      <c r="G86" s="3" t="inlineStr">
        <is>
          <t>Ингибитор коррозии + контроль остатка</t>
        </is>
      </c>
      <c r="H86" s="3" t="n">
        <v>307</v>
      </c>
      <c r="I86" s="3" t="n">
        <v>339</v>
      </c>
      <c r="J86" s="3">
        <f>MAX(I86-H86,0)</f>
        <v/>
      </c>
      <c r="K86" s="3" t="n">
        <v>12.2</v>
      </c>
      <c r="L86" s="3" t="n">
        <v>9800</v>
      </c>
      <c r="M86" s="3">
        <f>J86*K86*L86</f>
        <v/>
      </c>
      <c r="N86" s="3" t="n">
        <v>315000</v>
      </c>
      <c r="O86" s="3" t="n">
        <v>115000</v>
      </c>
      <c r="P86" s="3">
        <f>M86-N86-O86*J86/365</f>
        <v/>
      </c>
      <c r="Q86" s="3">
        <f>IFERROR(M86/(N86+O86*J86/365),0)</f>
        <v/>
      </c>
      <c r="R86" s="3">
        <f>IFERROR(N86/((M86/MAX(1,J86)*365)-O86)*12,0)</f>
        <v/>
      </c>
    </row>
    <row r="87">
      <c r="A87" s="3" t="inlineStr">
        <is>
          <t>EC-TRN-10-C1-B</t>
        </is>
      </c>
      <c r="B87" s="3" t="inlineStr">
        <is>
          <t>TRN-10</t>
        </is>
      </c>
      <c r="C87" s="3" t="inlineStr">
        <is>
          <t>Учебная скважина 10 · Восточное учебное / скв. 110 / Песчаный горизонт</t>
        </is>
      </c>
      <c r="D87" s="4" t="n">
        <v>45553</v>
      </c>
      <c r="E87" s="3" t="n">
        <v>1</v>
      </c>
      <c r="F87" s="3" t="inlineStr">
        <is>
          <t>Новый подбор</t>
        </is>
      </c>
      <c r="G87" s="3" t="inlineStr">
        <is>
          <t>Ингибитор коррозии + контроль остатка · лабораторная корректировка</t>
        </is>
      </c>
      <c r="H87" s="3" t="n">
        <v>307</v>
      </c>
      <c r="I87" s="3" t="n">
        <v>369</v>
      </c>
      <c r="J87" s="3">
        <f>MAX(I87-H87,0)</f>
        <v/>
      </c>
      <c r="K87" s="3" t="n">
        <v>12.2</v>
      </c>
      <c r="L87" s="3" t="n">
        <v>9800</v>
      </c>
      <c r="M87" s="3">
        <f>J87*K87*L87</f>
        <v/>
      </c>
      <c r="N87" s="3" t="n">
        <v>555000</v>
      </c>
      <c r="O87" s="3" t="n">
        <v>165000</v>
      </c>
      <c r="P87" s="3">
        <f>M87-N87-O87*J87/365</f>
        <v/>
      </c>
      <c r="Q87" s="3">
        <f>IFERROR(M87/(N87+O87*J87/365),0)</f>
        <v/>
      </c>
      <c r="R87" s="3">
        <f>IFERROR(N87/((M87/MAX(1,J87)*365)-O87)*12,0)</f>
        <v/>
      </c>
    </row>
    <row r="88">
      <c r="A88" s="3" t="inlineStr">
        <is>
          <t>EC-TRN-10-C1-C</t>
        </is>
      </c>
      <c r="B88" s="3" t="inlineStr">
        <is>
          <t>TRN-10</t>
        </is>
      </c>
      <c r="C88" s="3" t="inlineStr">
        <is>
          <t>Учебная скважина 10 · Восточное учебное / скв. 110 / Песчаный горизонт</t>
        </is>
      </c>
      <c r="D88" s="4" t="n">
        <v>45553</v>
      </c>
      <c r="E88" s="3" t="n">
        <v>1</v>
      </c>
      <c r="F88" s="3" t="inlineStr">
        <is>
          <t>Комплексная защита</t>
        </is>
      </c>
      <c r="G88" s="3" t="inlineStr">
        <is>
          <t>Комплекс: Ингибитор коррозии + контроль остатка + мониторинг</t>
        </is>
      </c>
      <c r="H88" s="3" t="n">
        <v>307</v>
      </c>
      <c r="I88" s="3" t="n">
        <v>399</v>
      </c>
      <c r="J88" s="3">
        <f>MAX(I88-H88,0)</f>
        <v/>
      </c>
      <c r="K88" s="3" t="n">
        <v>12.2</v>
      </c>
      <c r="L88" s="3" t="n">
        <v>9800</v>
      </c>
      <c r="M88" s="3">
        <f>J88*K88*L88</f>
        <v/>
      </c>
      <c r="N88" s="3" t="n">
        <v>795000</v>
      </c>
      <c r="O88" s="3" t="n">
        <v>235000</v>
      </c>
      <c r="P88" s="3">
        <f>M88-N88-O88*J88/365</f>
        <v/>
      </c>
      <c r="Q88" s="3">
        <f>IFERROR(M88/(N88+O88*J88/365),0)</f>
        <v/>
      </c>
      <c r="R88" s="3">
        <f>IFERROR(N88/((M88/MAX(1,J88)*365)-O88)*12,0)</f>
        <v/>
      </c>
    </row>
    <row r="89">
      <c r="A89" s="3" t="inlineStr">
        <is>
          <t>EC-TRN-10-C2-A</t>
        </is>
      </c>
      <c r="B89" s="3" t="inlineStr">
        <is>
          <t>TRN-10</t>
        </is>
      </c>
      <c r="C89" s="3" t="inlineStr">
        <is>
          <t>Учебная скважина 10 · Восточное учебное / скв. 110 / Песчаный горизонт</t>
        </is>
      </c>
      <c r="D89" s="4" t="n">
        <v>45777</v>
      </c>
      <c r="E89" s="3" t="n">
        <v>2</v>
      </c>
      <c r="F89" s="3" t="inlineStr">
        <is>
          <t>Повтор метода</t>
        </is>
      </c>
      <c r="G89" s="3" t="inlineStr">
        <is>
          <t>Подбор газосепаратора</t>
        </is>
      </c>
      <c r="H89" s="3" t="n">
        <v>217</v>
      </c>
      <c r="I89" s="3" t="n">
        <v>266</v>
      </c>
      <c r="J89" s="3">
        <f>MAX(I89-H89,0)</f>
        <v/>
      </c>
      <c r="K89" s="3" t="n">
        <v>12.2</v>
      </c>
      <c r="L89" s="3" t="n">
        <v>9800</v>
      </c>
      <c r="M89" s="3">
        <f>J89*K89*L89</f>
        <v/>
      </c>
      <c r="N89" s="3" t="n">
        <v>315000</v>
      </c>
      <c r="O89" s="3" t="n">
        <v>115000</v>
      </c>
      <c r="P89" s="3">
        <f>M89-N89-O89*J89/365</f>
        <v/>
      </c>
      <c r="Q89" s="3">
        <f>IFERROR(M89/(N89+O89*J89/365),0)</f>
        <v/>
      </c>
      <c r="R89" s="3">
        <f>IFERROR(N89/((M89/MAX(1,J89)*365)-O89)*12,0)</f>
        <v/>
      </c>
    </row>
    <row r="90">
      <c r="A90" s="3" t="inlineStr">
        <is>
          <t>EC-TRN-10-C2-B</t>
        </is>
      </c>
      <c r="B90" s="3" t="inlineStr">
        <is>
          <t>TRN-10</t>
        </is>
      </c>
      <c r="C90" s="3" t="inlineStr">
        <is>
          <t>Учебная скважина 10 · Восточное учебное / скв. 110 / Песчаный горизонт</t>
        </is>
      </c>
      <c r="D90" s="4" t="n">
        <v>45777</v>
      </c>
      <c r="E90" s="3" t="n">
        <v>2</v>
      </c>
      <c r="F90" s="3" t="inlineStr">
        <is>
          <t>Новый подбор</t>
        </is>
      </c>
      <c r="G90" s="3" t="inlineStr">
        <is>
          <t>Подбор газосепаратора · лабораторная корректировка</t>
        </is>
      </c>
      <c r="H90" s="3" t="n">
        <v>217</v>
      </c>
      <c r="I90" s="3" t="n">
        <v>296</v>
      </c>
      <c r="J90" s="3">
        <f>MAX(I90-H90,0)</f>
        <v/>
      </c>
      <c r="K90" s="3" t="n">
        <v>12.2</v>
      </c>
      <c r="L90" s="3" t="n">
        <v>9800</v>
      </c>
      <c r="M90" s="3">
        <f>J90*K90*L90</f>
        <v/>
      </c>
      <c r="N90" s="3" t="n">
        <v>555000</v>
      </c>
      <c r="O90" s="3" t="n">
        <v>165000</v>
      </c>
      <c r="P90" s="3">
        <f>M90-N90-O90*J90/365</f>
        <v/>
      </c>
      <c r="Q90" s="3">
        <f>IFERROR(M90/(N90+O90*J90/365),0)</f>
        <v/>
      </c>
      <c r="R90" s="3">
        <f>IFERROR(N90/((M90/MAX(1,J90)*365)-O90)*12,0)</f>
        <v/>
      </c>
    </row>
    <row r="91">
      <c r="A91" s="3" t="inlineStr">
        <is>
          <t>EC-TRN-10-C2-C</t>
        </is>
      </c>
      <c r="B91" s="3" t="inlineStr">
        <is>
          <t>TRN-10</t>
        </is>
      </c>
      <c r="C91" s="3" t="inlineStr">
        <is>
          <t>Учебная скважина 10 · Восточное учебное / скв. 110 / Песчаный горизонт</t>
        </is>
      </c>
      <c r="D91" s="4" t="n">
        <v>45777</v>
      </c>
      <c r="E91" s="3" t="n">
        <v>2</v>
      </c>
      <c r="F91" s="3" t="inlineStr">
        <is>
          <t>Комплексная защита</t>
        </is>
      </c>
      <c r="G91" s="3" t="inlineStr">
        <is>
          <t>Комплекс: Подбор газосепаратора + мониторинг</t>
        </is>
      </c>
      <c r="H91" s="3" t="n">
        <v>217</v>
      </c>
      <c r="I91" s="3" t="n">
        <v>326</v>
      </c>
      <c r="J91" s="3">
        <f>MAX(I91-H91,0)</f>
        <v/>
      </c>
      <c r="K91" s="3" t="n">
        <v>12.2</v>
      </c>
      <c r="L91" s="3" t="n">
        <v>9800</v>
      </c>
      <c r="M91" s="3">
        <f>J91*K91*L91</f>
        <v/>
      </c>
      <c r="N91" s="3" t="n">
        <v>795000</v>
      </c>
      <c r="O91" s="3" t="n">
        <v>235000</v>
      </c>
      <c r="P91" s="3">
        <f>M91-N91-O91*J91/365</f>
        <v/>
      </c>
      <c r="Q91" s="3">
        <f>IFERROR(M91/(N91+O91*J91/365),0)</f>
        <v/>
      </c>
      <c r="R91" s="3">
        <f>IFERROR(N91/((M91/MAX(1,J91)*365)-O91)*12,0)</f>
        <v/>
      </c>
    </row>
    <row r="92">
      <c r="A92" s="3" t="inlineStr">
        <is>
          <t>EC-TRN-10-C3-A</t>
        </is>
      </c>
      <c r="B92" s="3" t="inlineStr">
        <is>
          <t>TRN-10</t>
        </is>
      </c>
      <c r="C92" s="3" t="inlineStr">
        <is>
          <t>Учебная скважина 10 · Восточное учебное / скв. 110 / Песчаный горизонт</t>
        </is>
      </c>
      <c r="D92" s="4" t="n">
        <v>46281</v>
      </c>
      <c r="E92" s="3" t="n">
        <v>3</v>
      </c>
      <c r="F92" s="3" t="inlineStr">
        <is>
          <t>Повтор метода</t>
        </is>
      </c>
      <c r="G92" s="3" t="inlineStr">
        <is>
          <t>Тепловой режим + ингибитор гидратов</t>
        </is>
      </c>
      <c r="H92" s="3" t="n">
        <v>496</v>
      </c>
      <c r="I92" s="3" t="n">
        <v>562</v>
      </c>
      <c r="J92" s="3">
        <f>MAX(I92-H92,0)</f>
        <v/>
      </c>
      <c r="K92" s="3" t="n">
        <v>12.2</v>
      </c>
      <c r="L92" s="3" t="n">
        <v>9800</v>
      </c>
      <c r="M92" s="3">
        <f>J92*K92*L92</f>
        <v/>
      </c>
      <c r="N92" s="3" t="n">
        <v>315000</v>
      </c>
      <c r="O92" s="3" t="n">
        <v>115000</v>
      </c>
      <c r="P92" s="3">
        <f>M92-N92-O92*J92/365</f>
        <v/>
      </c>
      <c r="Q92" s="3">
        <f>IFERROR(M92/(N92+O92*J92/365),0)</f>
        <v/>
      </c>
      <c r="R92" s="3">
        <f>IFERROR(N92/((M92/MAX(1,J92)*365)-O92)*12,0)</f>
        <v/>
      </c>
    </row>
    <row r="93">
      <c r="A93" s="3" t="inlineStr">
        <is>
          <t>EC-TRN-10-C3-B</t>
        </is>
      </c>
      <c r="B93" s="3" t="inlineStr">
        <is>
          <t>TRN-10</t>
        </is>
      </c>
      <c r="C93" s="3" t="inlineStr">
        <is>
          <t>Учебная скважина 10 · Восточное учебное / скв. 110 / Песчаный горизонт</t>
        </is>
      </c>
      <c r="D93" s="4" t="n">
        <v>46281</v>
      </c>
      <c r="E93" s="3" t="n">
        <v>3</v>
      </c>
      <c r="F93" s="3" t="inlineStr">
        <is>
          <t>Новый подбор</t>
        </is>
      </c>
      <c r="G93" s="3" t="inlineStr">
        <is>
          <t>Тепловой режим + ингибитор гидратов · лабораторная корректировка</t>
        </is>
      </c>
      <c r="H93" s="3" t="n">
        <v>496</v>
      </c>
      <c r="I93" s="3" t="n">
        <v>592</v>
      </c>
      <c r="J93" s="3">
        <f>MAX(I93-H93,0)</f>
        <v/>
      </c>
      <c r="K93" s="3" t="n">
        <v>12.2</v>
      </c>
      <c r="L93" s="3" t="n">
        <v>9800</v>
      </c>
      <c r="M93" s="3">
        <f>J93*K93*L93</f>
        <v/>
      </c>
      <c r="N93" s="3" t="n">
        <v>555000</v>
      </c>
      <c r="O93" s="3" t="n">
        <v>165000</v>
      </c>
      <c r="P93" s="3">
        <f>M93-N93-O93*J93/365</f>
        <v/>
      </c>
      <c r="Q93" s="3">
        <f>IFERROR(M93/(N93+O93*J93/365),0)</f>
        <v/>
      </c>
      <c r="R93" s="3">
        <f>IFERROR(N93/((M93/MAX(1,J93)*365)-O93)*12,0)</f>
        <v/>
      </c>
    </row>
    <row r="94">
      <c r="A94" s="3" t="inlineStr">
        <is>
          <t>EC-TRN-10-C3-C</t>
        </is>
      </c>
      <c r="B94" s="3" t="inlineStr">
        <is>
          <t>TRN-10</t>
        </is>
      </c>
      <c r="C94" s="3" t="inlineStr">
        <is>
          <t>Учебная скважина 10 · Восточное учебное / скв. 110 / Песчаный горизонт</t>
        </is>
      </c>
      <c r="D94" s="4" t="n">
        <v>46281</v>
      </c>
      <c r="E94" s="3" t="n">
        <v>3</v>
      </c>
      <c r="F94" s="3" t="inlineStr">
        <is>
          <t>Комплексная защита</t>
        </is>
      </c>
      <c r="G94" s="3" t="inlineStr">
        <is>
          <t>Комплекс: Тепловой режим + ингибитор гидратов + мониторинг</t>
        </is>
      </c>
      <c r="H94" s="3" t="n">
        <v>496</v>
      </c>
      <c r="I94" s="3" t="n">
        <v>622</v>
      </c>
      <c r="J94" s="3">
        <f>MAX(I94-H94,0)</f>
        <v/>
      </c>
      <c r="K94" s="3" t="n">
        <v>12.2</v>
      </c>
      <c r="L94" s="3" t="n">
        <v>9800</v>
      </c>
      <c r="M94" s="3">
        <f>J94*K94*L94</f>
        <v/>
      </c>
      <c r="N94" s="3" t="n">
        <v>795000</v>
      </c>
      <c r="O94" s="3" t="n">
        <v>235000</v>
      </c>
      <c r="P94" s="3">
        <f>M94-N94-O94*J94/365</f>
        <v/>
      </c>
      <c r="Q94" s="3">
        <f>IFERROR(M94/(N94+O94*J94/365),0)</f>
        <v/>
      </c>
      <c r="R94" s="3">
        <f>IFERROR(N94/((M94/MAX(1,J94)*365)-O94)*12,0)</f>
        <v/>
      </c>
    </row>
    <row r="95">
      <c r="A95" s="3" t="inlineStr">
        <is>
          <t>EC-TRN-11-C1-A</t>
        </is>
      </c>
      <c r="B95" s="3" t="inlineStr">
        <is>
          <t>TRN-11</t>
        </is>
      </c>
      <c r="C95" s="3" t="inlineStr">
        <is>
          <t>Учебная скважина 11 · Приозёрное учебное / скв. 111 / Батский III пласт</t>
        </is>
      </c>
      <c r="D95" s="4" t="n">
        <v>45348</v>
      </c>
      <c r="E95" s="3" t="n">
        <v>1</v>
      </c>
      <c r="F95" s="3" t="inlineStr">
        <is>
          <t>Повтор метода</t>
        </is>
      </c>
      <c r="G95" s="3" t="inlineStr">
        <is>
          <t>Фильтрация и контроль фракций</t>
        </is>
      </c>
      <c r="H95" s="3" t="n">
        <v>110</v>
      </c>
      <c r="I95" s="3" t="n">
        <v>155</v>
      </c>
      <c r="J95" s="3">
        <f>MAX(I95-H95,0)</f>
        <v/>
      </c>
      <c r="K95" s="3" t="n">
        <v>53.2</v>
      </c>
      <c r="L95" s="3" t="n">
        <v>11500</v>
      </c>
      <c r="M95" s="3">
        <f>J95*K95*L95</f>
        <v/>
      </c>
      <c r="N95" s="3" t="n">
        <v>318500</v>
      </c>
      <c r="O95" s="3" t="n">
        <v>115000</v>
      </c>
      <c r="P95" s="3">
        <f>M95-N95-O95*J95/365</f>
        <v/>
      </c>
      <c r="Q95" s="3">
        <f>IFERROR(M95/(N95+O95*J95/365),0)</f>
        <v/>
      </c>
      <c r="R95" s="3">
        <f>IFERROR(N95/((M95/MAX(1,J95)*365)-O95)*12,0)</f>
        <v/>
      </c>
    </row>
    <row r="96">
      <c r="A96" s="3" t="inlineStr">
        <is>
          <t>EC-TRN-11-C1-B</t>
        </is>
      </c>
      <c r="B96" s="3" t="inlineStr">
        <is>
          <t>TRN-11</t>
        </is>
      </c>
      <c r="C96" s="3" t="inlineStr">
        <is>
          <t>Учебная скважина 11 · Приозёрное учебное / скв. 111 / Батский III пласт</t>
        </is>
      </c>
      <c r="D96" s="4" t="n">
        <v>45348</v>
      </c>
      <c r="E96" s="3" t="n">
        <v>1</v>
      </c>
      <c r="F96" s="3" t="inlineStr">
        <is>
          <t>Новый подбор</t>
        </is>
      </c>
      <c r="G96" s="3" t="inlineStr">
        <is>
          <t>Фильтрация и контроль фракций · лабораторная корректировка</t>
        </is>
      </c>
      <c r="H96" s="3" t="n">
        <v>110</v>
      </c>
      <c r="I96" s="3" t="n">
        <v>185</v>
      </c>
      <c r="J96" s="3">
        <f>MAX(I96-H96,0)</f>
        <v/>
      </c>
      <c r="K96" s="3" t="n">
        <v>53.2</v>
      </c>
      <c r="L96" s="3" t="n">
        <v>11500</v>
      </c>
      <c r="M96" s="3">
        <f>J96*K96*L96</f>
        <v/>
      </c>
      <c r="N96" s="3" t="n">
        <v>558500</v>
      </c>
      <c r="O96" s="3" t="n">
        <v>165000</v>
      </c>
      <c r="P96" s="3">
        <f>M96-N96-O96*J96/365</f>
        <v/>
      </c>
      <c r="Q96" s="3">
        <f>IFERROR(M96/(N96+O96*J96/365),0)</f>
        <v/>
      </c>
      <c r="R96" s="3">
        <f>IFERROR(N96/((M96/MAX(1,J96)*365)-O96)*12,0)</f>
        <v/>
      </c>
    </row>
    <row r="97">
      <c r="A97" s="3" t="inlineStr">
        <is>
          <t>EC-TRN-11-C1-C</t>
        </is>
      </c>
      <c r="B97" s="3" t="inlineStr">
        <is>
          <t>TRN-11</t>
        </is>
      </c>
      <c r="C97" s="3" t="inlineStr">
        <is>
          <t>Учебная скважина 11 · Приозёрное учебное / скв. 111 / Батский III пласт</t>
        </is>
      </c>
      <c r="D97" s="4" t="n">
        <v>45348</v>
      </c>
      <c r="E97" s="3" t="n">
        <v>1</v>
      </c>
      <c r="F97" s="3" t="inlineStr">
        <is>
          <t>Комплексная защита</t>
        </is>
      </c>
      <c r="G97" s="3" t="inlineStr">
        <is>
          <t>Комплекс: Фильтрация и контроль фракций + мониторинг</t>
        </is>
      </c>
      <c r="H97" s="3" t="n">
        <v>110</v>
      </c>
      <c r="I97" s="3" t="n">
        <v>215</v>
      </c>
      <c r="J97" s="3">
        <f>MAX(I97-H97,0)</f>
        <v/>
      </c>
      <c r="K97" s="3" t="n">
        <v>53.2</v>
      </c>
      <c r="L97" s="3" t="n">
        <v>11500</v>
      </c>
      <c r="M97" s="3">
        <f>J97*K97*L97</f>
        <v/>
      </c>
      <c r="N97" s="3" t="n">
        <v>798500</v>
      </c>
      <c r="O97" s="3" t="n">
        <v>235000</v>
      </c>
      <c r="P97" s="3">
        <f>M97-N97-O97*J97/365</f>
        <v/>
      </c>
      <c r="Q97" s="3">
        <f>IFERROR(M97/(N97+O97*J97/365),0)</f>
        <v/>
      </c>
      <c r="R97" s="3">
        <f>IFERROR(N97/((M97/MAX(1,J97)*365)-O97)*12,0)</f>
        <v/>
      </c>
    </row>
    <row r="98">
      <c r="A98" s="3" t="inlineStr">
        <is>
          <t>EC-TRN-11-C2-A</t>
        </is>
      </c>
      <c r="B98" s="3" t="inlineStr">
        <is>
          <t>TRN-11</t>
        </is>
      </c>
      <c r="C98" s="3" t="inlineStr">
        <is>
          <t>Учебная скважина 11 · Приозёрное учебное / скв. 111 / Батский III пласт</t>
        </is>
      </c>
      <c r="D98" s="4" t="n">
        <v>45850</v>
      </c>
      <c r="E98" s="3" t="n">
        <v>2</v>
      </c>
      <c r="F98" s="3" t="inlineStr">
        <is>
          <t>Повтор метода</t>
        </is>
      </c>
      <c r="G98" s="3" t="inlineStr">
        <is>
          <t>Биоцидная обработка + контроль</t>
        </is>
      </c>
      <c r="H98" s="3" t="n">
        <v>494</v>
      </c>
      <c r="I98" s="3" t="n">
        <v>556</v>
      </c>
      <c r="J98" s="3">
        <f>MAX(I98-H98,0)</f>
        <v/>
      </c>
      <c r="K98" s="3" t="n">
        <v>53.2</v>
      </c>
      <c r="L98" s="3" t="n">
        <v>11500</v>
      </c>
      <c r="M98" s="3">
        <f>J98*K98*L98</f>
        <v/>
      </c>
      <c r="N98" s="3" t="n">
        <v>318500</v>
      </c>
      <c r="O98" s="3" t="n">
        <v>115000</v>
      </c>
      <c r="P98" s="3">
        <f>M98-N98-O98*J98/365</f>
        <v/>
      </c>
      <c r="Q98" s="3">
        <f>IFERROR(M98/(N98+O98*J98/365),0)</f>
        <v/>
      </c>
      <c r="R98" s="3">
        <f>IFERROR(N98/((M98/MAX(1,J98)*365)-O98)*12,0)</f>
        <v/>
      </c>
    </row>
    <row r="99">
      <c r="A99" s="3" t="inlineStr">
        <is>
          <t>EC-TRN-11-C2-B</t>
        </is>
      </c>
      <c r="B99" s="3" t="inlineStr">
        <is>
          <t>TRN-11</t>
        </is>
      </c>
      <c r="C99" s="3" t="inlineStr">
        <is>
          <t>Учебная скважина 11 · Приозёрное учебное / скв. 111 / Батский III пласт</t>
        </is>
      </c>
      <c r="D99" s="4" t="n">
        <v>45850</v>
      </c>
      <c r="E99" s="3" t="n">
        <v>2</v>
      </c>
      <c r="F99" s="3" t="inlineStr">
        <is>
          <t>Новый подбор</t>
        </is>
      </c>
      <c r="G99" s="3" t="inlineStr">
        <is>
          <t>Биоцидная обработка + контроль · лабораторная корректировка</t>
        </is>
      </c>
      <c r="H99" s="3" t="n">
        <v>494</v>
      </c>
      <c r="I99" s="3" t="n">
        <v>586</v>
      </c>
      <c r="J99" s="3">
        <f>MAX(I99-H99,0)</f>
        <v/>
      </c>
      <c r="K99" s="3" t="n">
        <v>53.2</v>
      </c>
      <c r="L99" s="3" t="n">
        <v>11500</v>
      </c>
      <c r="M99" s="3">
        <f>J99*K99*L99</f>
        <v/>
      </c>
      <c r="N99" s="3" t="n">
        <v>558500</v>
      </c>
      <c r="O99" s="3" t="n">
        <v>165000</v>
      </c>
      <c r="P99" s="3">
        <f>M99-N99-O99*J99/365</f>
        <v/>
      </c>
      <c r="Q99" s="3">
        <f>IFERROR(M99/(N99+O99*J99/365),0)</f>
        <v/>
      </c>
      <c r="R99" s="3">
        <f>IFERROR(N99/((M99/MAX(1,J99)*365)-O99)*12,0)</f>
        <v/>
      </c>
    </row>
    <row r="100">
      <c r="A100" s="3" t="inlineStr">
        <is>
          <t>EC-TRN-11-C2-C</t>
        </is>
      </c>
      <c r="B100" s="3" t="inlineStr">
        <is>
          <t>TRN-11</t>
        </is>
      </c>
      <c r="C100" s="3" t="inlineStr">
        <is>
          <t>Учебная скважина 11 · Приозёрное учебное / скв. 111 / Батский III пласт</t>
        </is>
      </c>
      <c r="D100" s="4" t="n">
        <v>45850</v>
      </c>
      <c r="E100" s="3" t="n">
        <v>2</v>
      </c>
      <c r="F100" s="3" t="inlineStr">
        <is>
          <t>Комплексная защита</t>
        </is>
      </c>
      <c r="G100" s="3" t="inlineStr">
        <is>
          <t>Комплекс: Биоцидная обработка + контроль + мониторинг</t>
        </is>
      </c>
      <c r="H100" s="3" t="n">
        <v>494</v>
      </c>
      <c r="I100" s="3" t="n">
        <v>616</v>
      </c>
      <c r="J100" s="3">
        <f>MAX(I100-H100,0)</f>
        <v/>
      </c>
      <c r="K100" s="3" t="n">
        <v>53.2</v>
      </c>
      <c r="L100" s="3" t="n">
        <v>11500</v>
      </c>
      <c r="M100" s="3">
        <f>J100*K100*L100</f>
        <v/>
      </c>
      <c r="N100" s="3" t="n">
        <v>798500</v>
      </c>
      <c r="O100" s="3" t="n">
        <v>235000</v>
      </c>
      <c r="P100" s="3">
        <f>M100-N100-O100*J100/365</f>
        <v/>
      </c>
      <c r="Q100" s="3">
        <f>IFERROR(M100/(N100+O100*J100/365),0)</f>
        <v/>
      </c>
      <c r="R100" s="3">
        <f>IFERROR(N100/((M100/MAX(1,J100)*365)-O100)*12,0)</f>
        <v/>
      </c>
    </row>
    <row r="101">
      <c r="A101" s="3" t="inlineStr">
        <is>
          <t>EC-TRN-11-C3-A</t>
        </is>
      </c>
      <c r="B101" s="3" t="inlineStr">
        <is>
          <t>TRN-11</t>
        </is>
      </c>
      <c r="C101" s="3" t="inlineStr">
        <is>
          <t>Учебная скважина 11 · Приозёрное учебное / скв. 111 / Батский III пласт</t>
        </is>
      </c>
      <c r="D101" s="4" t="n">
        <v>46077</v>
      </c>
      <c r="E101" s="3" t="n">
        <v>3</v>
      </c>
      <c r="F101" s="3" t="inlineStr">
        <is>
          <t>Повтор метода</t>
        </is>
      </c>
      <c r="G101" s="3" t="inlineStr">
        <is>
          <t>Повторная корректировка: Ингибитор коррозии + контроль остатка</t>
        </is>
      </c>
      <c r="H101" s="3" t="n">
        <v>218</v>
      </c>
      <c r="I101" s="3" t="n">
        <v>297</v>
      </c>
      <c r="J101" s="3">
        <f>MAX(I101-H101,0)</f>
        <v/>
      </c>
      <c r="K101" s="3" t="n">
        <v>53.2</v>
      </c>
      <c r="L101" s="3" t="n">
        <v>11500</v>
      </c>
      <c r="M101" s="3">
        <f>J101*K101*L101</f>
        <v/>
      </c>
      <c r="N101" s="3" t="n">
        <v>318500</v>
      </c>
      <c r="O101" s="3" t="n">
        <v>115000</v>
      </c>
      <c r="P101" s="3">
        <f>M101-N101-O101*J101/365</f>
        <v/>
      </c>
      <c r="Q101" s="3">
        <f>IFERROR(M101/(N101+O101*J101/365),0)</f>
        <v/>
      </c>
      <c r="R101" s="3">
        <f>IFERROR(N101/((M101/MAX(1,J101)*365)-O101)*12,0)</f>
        <v/>
      </c>
    </row>
    <row r="102">
      <c r="A102" s="3" t="inlineStr">
        <is>
          <t>EC-TRN-11-C3-B</t>
        </is>
      </c>
      <c r="B102" s="3" t="inlineStr">
        <is>
          <t>TRN-11</t>
        </is>
      </c>
      <c r="C102" s="3" t="inlineStr">
        <is>
          <t>Учебная скважина 11 · Приозёрное учебное / скв. 111 / Батский III пласт</t>
        </is>
      </c>
      <c r="D102" s="4" t="n">
        <v>46077</v>
      </c>
      <c r="E102" s="3" t="n">
        <v>3</v>
      </c>
      <c r="F102" s="3" t="inlineStr">
        <is>
          <t>Новый подбор</t>
        </is>
      </c>
      <c r="G102" s="3" t="inlineStr">
        <is>
          <t>Повторная корректировка: Ингибитор коррозии + контроль остатка · лабораторная корректировка</t>
        </is>
      </c>
      <c r="H102" s="3" t="n">
        <v>218</v>
      </c>
      <c r="I102" s="3" t="n">
        <v>327</v>
      </c>
      <c r="J102" s="3">
        <f>MAX(I102-H102,0)</f>
        <v/>
      </c>
      <c r="K102" s="3" t="n">
        <v>53.2</v>
      </c>
      <c r="L102" s="3" t="n">
        <v>11500</v>
      </c>
      <c r="M102" s="3">
        <f>J102*K102*L102</f>
        <v/>
      </c>
      <c r="N102" s="3" t="n">
        <v>558500</v>
      </c>
      <c r="O102" s="3" t="n">
        <v>165000</v>
      </c>
      <c r="P102" s="3">
        <f>M102-N102-O102*J102/365</f>
        <v/>
      </c>
      <c r="Q102" s="3">
        <f>IFERROR(M102/(N102+O102*J102/365),0)</f>
        <v/>
      </c>
      <c r="R102" s="3">
        <f>IFERROR(N102/((M102/MAX(1,J102)*365)-O102)*12,0)</f>
        <v/>
      </c>
    </row>
    <row r="103">
      <c r="A103" s="3" t="inlineStr">
        <is>
          <t>EC-TRN-11-C3-C</t>
        </is>
      </c>
      <c r="B103" s="3" t="inlineStr">
        <is>
          <t>TRN-11</t>
        </is>
      </c>
      <c r="C103" s="3" t="inlineStr">
        <is>
          <t>Учебная скважина 11 · Приозёрное учебное / скв. 111 / Батский III пласт</t>
        </is>
      </c>
      <c r="D103" s="4" t="n">
        <v>46077</v>
      </c>
      <c r="E103" s="3" t="n">
        <v>3</v>
      </c>
      <c r="F103" s="3" t="inlineStr">
        <is>
          <t>Комплексная защита</t>
        </is>
      </c>
      <c r="G103" s="3" t="inlineStr">
        <is>
          <t>Комплекс: Повторная корректировка: Ингибитор коррозии + контроль остатка + мониторинг</t>
        </is>
      </c>
      <c r="H103" s="3" t="n">
        <v>218</v>
      </c>
      <c r="I103" s="3" t="n">
        <v>357</v>
      </c>
      <c r="J103" s="3">
        <f>MAX(I103-H103,0)</f>
        <v/>
      </c>
      <c r="K103" s="3" t="n">
        <v>53.2</v>
      </c>
      <c r="L103" s="3" t="n">
        <v>11500</v>
      </c>
      <c r="M103" s="3">
        <f>J103*K103*L103</f>
        <v/>
      </c>
      <c r="N103" s="3" t="n">
        <v>798500</v>
      </c>
      <c r="O103" s="3" t="n">
        <v>235000</v>
      </c>
      <c r="P103" s="3">
        <f>M103-N103-O103*J103/365</f>
        <v/>
      </c>
      <c r="Q103" s="3">
        <f>IFERROR(M103/(N103+O103*J103/365),0)</f>
        <v/>
      </c>
      <c r="R103" s="3">
        <f>IFERROR(N103/((M103/MAX(1,J103)*365)-O103)*12,0)</f>
        <v/>
      </c>
    </row>
    <row r="104">
      <c r="A104" s="3" t="inlineStr">
        <is>
          <t>EC-TRN-12-C1-A</t>
        </is>
      </c>
      <c r="B104" s="3" t="inlineStr">
        <is>
          <t>TRN-12</t>
        </is>
      </c>
      <c r="C104" s="3" t="inlineStr">
        <is>
          <t>Учебная скважина 12 · Ключевое учебное / скв. 112 / Турнейский горизонт</t>
        </is>
      </c>
      <c r="D104" s="4" t="n">
        <v>45446</v>
      </c>
      <c r="E104" s="3" t="n">
        <v>1</v>
      </c>
      <c r="F104" s="3" t="inlineStr">
        <is>
          <t>Повтор метода</t>
        </is>
      </c>
      <c r="G104" s="3" t="inlineStr">
        <is>
          <t>Подбор деэмульгатора</t>
        </is>
      </c>
      <c r="H104" s="3" t="n">
        <v>206</v>
      </c>
      <c r="I104" s="3" t="n">
        <v>264</v>
      </c>
      <c r="J104" s="3">
        <f>MAX(I104-H104,0)</f>
        <v/>
      </c>
      <c r="K104" s="3" t="n">
        <v>56.5</v>
      </c>
      <c r="L104" s="3" t="n">
        <v>12800</v>
      </c>
      <c r="M104" s="3">
        <f>J104*K104*L104</f>
        <v/>
      </c>
      <c r="N104" s="3" t="n">
        <v>322000</v>
      </c>
      <c r="O104" s="3" t="n">
        <v>115000</v>
      </c>
      <c r="P104" s="3">
        <f>M104-N104-O104*J104/365</f>
        <v/>
      </c>
      <c r="Q104" s="3">
        <f>IFERROR(M104/(N104+O104*J104/365),0)</f>
        <v/>
      </c>
      <c r="R104" s="3">
        <f>IFERROR(N104/((M104/MAX(1,J104)*365)-O104)*12,0)</f>
        <v/>
      </c>
    </row>
    <row r="105">
      <c r="A105" s="3" t="inlineStr">
        <is>
          <t>EC-TRN-12-C1-B</t>
        </is>
      </c>
      <c r="B105" s="3" t="inlineStr">
        <is>
          <t>TRN-12</t>
        </is>
      </c>
      <c r="C105" s="3" t="inlineStr">
        <is>
          <t>Учебная скважина 12 · Ключевое учебное / скв. 112 / Турнейский горизонт</t>
        </is>
      </c>
      <c r="D105" s="4" t="n">
        <v>45446</v>
      </c>
      <c r="E105" s="3" t="n">
        <v>1</v>
      </c>
      <c r="F105" s="3" t="inlineStr">
        <is>
          <t>Новый подбор</t>
        </is>
      </c>
      <c r="G105" s="3" t="inlineStr">
        <is>
          <t>Подбор деэмульгатора · лабораторная корректировка</t>
        </is>
      </c>
      <c r="H105" s="3" t="n">
        <v>206</v>
      </c>
      <c r="I105" s="3" t="n">
        <v>294</v>
      </c>
      <c r="J105" s="3">
        <f>MAX(I105-H105,0)</f>
        <v/>
      </c>
      <c r="K105" s="3" t="n">
        <v>56.5</v>
      </c>
      <c r="L105" s="3" t="n">
        <v>12800</v>
      </c>
      <c r="M105" s="3">
        <f>J105*K105*L105</f>
        <v/>
      </c>
      <c r="N105" s="3" t="n">
        <v>562000</v>
      </c>
      <c r="O105" s="3" t="n">
        <v>165000</v>
      </c>
      <c r="P105" s="3">
        <f>M105-N105-O105*J105/365</f>
        <v/>
      </c>
      <c r="Q105" s="3">
        <f>IFERROR(M105/(N105+O105*J105/365),0)</f>
        <v/>
      </c>
      <c r="R105" s="3">
        <f>IFERROR(N105/((M105/MAX(1,J105)*365)-O105)*12,0)</f>
        <v/>
      </c>
    </row>
    <row r="106">
      <c r="A106" s="3" t="inlineStr">
        <is>
          <t>EC-TRN-12-C1-C</t>
        </is>
      </c>
      <c r="B106" s="3" t="inlineStr">
        <is>
          <t>TRN-12</t>
        </is>
      </c>
      <c r="C106" s="3" t="inlineStr">
        <is>
          <t>Учебная скважина 12 · Ключевое учебное / скв. 112 / Турнейский горизонт</t>
        </is>
      </c>
      <c r="D106" s="4" t="n">
        <v>45446</v>
      </c>
      <c r="E106" s="3" t="n">
        <v>1</v>
      </c>
      <c r="F106" s="3" t="inlineStr">
        <is>
          <t>Комплексная защита</t>
        </is>
      </c>
      <c r="G106" s="3" t="inlineStr">
        <is>
          <t>Комплекс: Подбор деэмульгатора + мониторинг</t>
        </is>
      </c>
      <c r="H106" s="3" t="n">
        <v>206</v>
      </c>
      <c r="I106" s="3" t="n">
        <v>324</v>
      </c>
      <c r="J106" s="3">
        <f>MAX(I106-H106,0)</f>
        <v/>
      </c>
      <c r="K106" s="3" t="n">
        <v>56.5</v>
      </c>
      <c r="L106" s="3" t="n">
        <v>12800</v>
      </c>
      <c r="M106" s="3">
        <f>J106*K106*L106</f>
        <v/>
      </c>
      <c r="N106" s="3" t="n">
        <v>802000</v>
      </c>
      <c r="O106" s="3" t="n">
        <v>235000</v>
      </c>
      <c r="P106" s="3">
        <f>M106-N106-O106*J106/365</f>
        <v/>
      </c>
      <c r="Q106" s="3">
        <f>IFERROR(M106/(N106+O106*J106/365),0)</f>
        <v/>
      </c>
      <c r="R106" s="3">
        <f>IFERROR(N106/((M106/MAX(1,J106)*365)-O106)*12,0)</f>
        <v/>
      </c>
    </row>
    <row r="107">
      <c r="A107" s="3" t="inlineStr">
        <is>
          <t>EC-TRN-12-C2-A</t>
        </is>
      </c>
      <c r="B107" s="3" t="inlineStr">
        <is>
          <t>TRN-12</t>
        </is>
      </c>
      <c r="C107" s="3" t="inlineStr">
        <is>
          <t>Учебная скважина 12 · Ключевое учебное / скв. 112 / Турнейский горизонт</t>
        </is>
      </c>
      <c r="D107" s="4" t="n">
        <v>45950</v>
      </c>
      <c r="E107" s="3" t="n">
        <v>2</v>
      </c>
      <c r="F107" s="3" t="inlineStr">
        <is>
          <t>Повтор метода</t>
        </is>
      </c>
      <c r="G107" s="3" t="inlineStr">
        <is>
          <t>Повторная корректировка: Ингибитор солеотложений</t>
        </is>
      </c>
      <c r="H107" s="3" t="n">
        <v>495</v>
      </c>
      <c r="I107" s="3" t="n">
        <v>570</v>
      </c>
      <c r="J107" s="3">
        <f>MAX(I107-H107,0)</f>
        <v/>
      </c>
      <c r="K107" s="3" t="n">
        <v>56.5</v>
      </c>
      <c r="L107" s="3" t="n">
        <v>12800</v>
      </c>
      <c r="M107" s="3">
        <f>J107*K107*L107</f>
        <v/>
      </c>
      <c r="N107" s="3" t="n">
        <v>322000</v>
      </c>
      <c r="O107" s="3" t="n">
        <v>115000</v>
      </c>
      <c r="P107" s="3">
        <f>M107-N107-O107*J107/365</f>
        <v/>
      </c>
      <c r="Q107" s="3">
        <f>IFERROR(M107/(N107+O107*J107/365),0)</f>
        <v/>
      </c>
      <c r="R107" s="3">
        <f>IFERROR(N107/((M107/MAX(1,J107)*365)-O107)*12,0)</f>
        <v/>
      </c>
    </row>
    <row r="108">
      <c r="A108" s="3" t="inlineStr">
        <is>
          <t>EC-TRN-12-C2-B</t>
        </is>
      </c>
      <c r="B108" s="3" t="inlineStr">
        <is>
          <t>TRN-12</t>
        </is>
      </c>
      <c r="C108" s="3" t="inlineStr">
        <is>
          <t>Учебная скважина 12 · Ключевое учебное / скв. 112 / Турнейский горизонт</t>
        </is>
      </c>
      <c r="D108" s="4" t="n">
        <v>45950</v>
      </c>
      <c r="E108" s="3" t="n">
        <v>2</v>
      </c>
      <c r="F108" s="3" t="inlineStr">
        <is>
          <t>Новый подбор</t>
        </is>
      </c>
      <c r="G108" s="3" t="inlineStr">
        <is>
          <t>Повторная корректировка: Ингибитор солеотложений · лабораторная корректировка</t>
        </is>
      </c>
      <c r="H108" s="3" t="n">
        <v>495</v>
      </c>
      <c r="I108" s="3" t="n">
        <v>600</v>
      </c>
      <c r="J108" s="3">
        <f>MAX(I108-H108,0)</f>
        <v/>
      </c>
      <c r="K108" s="3" t="n">
        <v>56.5</v>
      </c>
      <c r="L108" s="3" t="n">
        <v>12800</v>
      </c>
      <c r="M108" s="3">
        <f>J108*K108*L108</f>
        <v/>
      </c>
      <c r="N108" s="3" t="n">
        <v>562000</v>
      </c>
      <c r="O108" s="3" t="n">
        <v>165000</v>
      </c>
      <c r="P108" s="3">
        <f>M108-N108-O108*J108/365</f>
        <v/>
      </c>
      <c r="Q108" s="3">
        <f>IFERROR(M108/(N108+O108*J108/365),0)</f>
        <v/>
      </c>
      <c r="R108" s="3">
        <f>IFERROR(N108/((M108/MAX(1,J108)*365)-O108)*12,0)</f>
        <v/>
      </c>
    </row>
    <row r="109">
      <c r="A109" s="3" t="inlineStr">
        <is>
          <t>EC-TRN-12-C2-C</t>
        </is>
      </c>
      <c r="B109" s="3" t="inlineStr">
        <is>
          <t>TRN-12</t>
        </is>
      </c>
      <c r="C109" s="3" t="inlineStr">
        <is>
          <t>Учебная скважина 12 · Ключевое учебное / скв. 112 / Турнейский горизонт</t>
        </is>
      </c>
      <c r="D109" s="4" t="n">
        <v>45950</v>
      </c>
      <c r="E109" s="3" t="n">
        <v>2</v>
      </c>
      <c r="F109" s="3" t="inlineStr">
        <is>
          <t>Комплексная защита</t>
        </is>
      </c>
      <c r="G109" s="3" t="inlineStr">
        <is>
          <t>Комплекс: Повторная корректировка: Ингибитор солеотложений + мониторинг</t>
        </is>
      </c>
      <c r="H109" s="3" t="n">
        <v>495</v>
      </c>
      <c r="I109" s="3" t="n">
        <v>630</v>
      </c>
      <c r="J109" s="3">
        <f>MAX(I109-H109,0)</f>
        <v/>
      </c>
      <c r="K109" s="3" t="n">
        <v>56.5</v>
      </c>
      <c r="L109" s="3" t="n">
        <v>12800</v>
      </c>
      <c r="M109" s="3">
        <f>J109*K109*L109</f>
        <v/>
      </c>
      <c r="N109" s="3" t="n">
        <v>802000</v>
      </c>
      <c r="O109" s="3" t="n">
        <v>235000</v>
      </c>
      <c r="P109" s="3">
        <f>M109-N109-O109*J109/365</f>
        <v/>
      </c>
      <c r="Q109" s="3">
        <f>IFERROR(M109/(N109+O109*J109/365),0)</f>
        <v/>
      </c>
      <c r="R109" s="3">
        <f>IFERROR(N109/((M109/MAX(1,J109)*365)-O109)*12,0)</f>
        <v/>
      </c>
    </row>
    <row r="110">
      <c r="A110" s="3" t="inlineStr">
        <is>
          <t>EC-TRN-12-C3-A</t>
        </is>
      </c>
      <c r="B110" s="3" t="inlineStr">
        <is>
          <t>TRN-12</t>
        </is>
      </c>
      <c r="C110" s="3" t="inlineStr">
        <is>
          <t>Учебная скважина 12 · Ключевое учебное / скв. 112 / Турнейский горизонт</t>
        </is>
      </c>
      <c r="D110" s="4" t="n">
        <v>46174</v>
      </c>
      <c r="E110" s="3" t="n">
        <v>3</v>
      </c>
      <c r="F110" s="3" t="inlineStr">
        <is>
          <t>Повтор метода</t>
        </is>
      </c>
      <c r="G110" s="3" t="inlineStr">
        <is>
          <t>Фильтрация и контроль фракций</t>
        </is>
      </c>
      <c r="H110" s="3" t="n">
        <v>214</v>
      </c>
      <c r="I110" s="3" t="n">
        <v>251</v>
      </c>
      <c r="J110" s="3">
        <f>MAX(I110-H110,0)</f>
        <v/>
      </c>
      <c r="K110" s="3" t="n">
        <v>56.5</v>
      </c>
      <c r="L110" s="3" t="n">
        <v>12800</v>
      </c>
      <c r="M110" s="3">
        <f>J110*K110*L110</f>
        <v/>
      </c>
      <c r="N110" s="3" t="n">
        <v>322000</v>
      </c>
      <c r="O110" s="3" t="n">
        <v>115000</v>
      </c>
      <c r="P110" s="3">
        <f>M110-N110-O110*J110/365</f>
        <v/>
      </c>
      <c r="Q110" s="3">
        <f>IFERROR(M110/(N110+O110*J110/365),0)</f>
        <v/>
      </c>
      <c r="R110" s="3">
        <f>IFERROR(N110/((M110/MAX(1,J110)*365)-O110)*12,0)</f>
        <v/>
      </c>
    </row>
    <row r="111">
      <c r="A111" s="3" t="inlineStr">
        <is>
          <t>EC-TRN-12-C3-B</t>
        </is>
      </c>
      <c r="B111" s="3" t="inlineStr">
        <is>
          <t>TRN-12</t>
        </is>
      </c>
      <c r="C111" s="3" t="inlineStr">
        <is>
          <t>Учебная скважина 12 · Ключевое учебное / скв. 112 / Турнейский горизонт</t>
        </is>
      </c>
      <c r="D111" s="4" t="n">
        <v>46174</v>
      </c>
      <c r="E111" s="3" t="n">
        <v>3</v>
      </c>
      <c r="F111" s="3" t="inlineStr">
        <is>
          <t>Новый подбор</t>
        </is>
      </c>
      <c r="G111" s="3" t="inlineStr">
        <is>
          <t>Фильтрация и контроль фракций · лабораторная корректировка</t>
        </is>
      </c>
      <c r="H111" s="3" t="n">
        <v>214</v>
      </c>
      <c r="I111" s="3" t="n">
        <v>281</v>
      </c>
      <c r="J111" s="3">
        <f>MAX(I111-H111,0)</f>
        <v/>
      </c>
      <c r="K111" s="3" t="n">
        <v>56.5</v>
      </c>
      <c r="L111" s="3" t="n">
        <v>12800</v>
      </c>
      <c r="M111" s="3">
        <f>J111*K111*L111</f>
        <v/>
      </c>
      <c r="N111" s="3" t="n">
        <v>562000</v>
      </c>
      <c r="O111" s="3" t="n">
        <v>165000</v>
      </c>
      <c r="P111" s="3">
        <f>M111-N111-O111*J111/365</f>
        <v/>
      </c>
      <c r="Q111" s="3">
        <f>IFERROR(M111/(N111+O111*J111/365),0)</f>
        <v/>
      </c>
      <c r="R111" s="3">
        <f>IFERROR(N111/((M111/MAX(1,J111)*365)-O111)*12,0)</f>
        <v/>
      </c>
    </row>
    <row r="112">
      <c r="A112" s="3" t="inlineStr">
        <is>
          <t>EC-TRN-12-C3-C</t>
        </is>
      </c>
      <c r="B112" s="3" t="inlineStr">
        <is>
          <t>TRN-12</t>
        </is>
      </c>
      <c r="C112" s="3" t="inlineStr">
        <is>
          <t>Учебная скважина 12 · Ключевое учебное / скв. 112 / Турнейский горизонт</t>
        </is>
      </c>
      <c r="D112" s="4" t="n">
        <v>46174</v>
      </c>
      <c r="E112" s="3" t="n">
        <v>3</v>
      </c>
      <c r="F112" s="3" t="inlineStr">
        <is>
          <t>Комплексная защита</t>
        </is>
      </c>
      <c r="G112" s="3" t="inlineStr">
        <is>
          <t>Комплекс: Фильтрация и контроль фракций + мониторинг</t>
        </is>
      </c>
      <c r="H112" s="3" t="n">
        <v>214</v>
      </c>
      <c r="I112" s="3" t="n">
        <v>311</v>
      </c>
      <c r="J112" s="3">
        <f>MAX(I112-H112,0)</f>
        <v/>
      </c>
      <c r="K112" s="3" t="n">
        <v>56.5</v>
      </c>
      <c r="L112" s="3" t="n">
        <v>12800</v>
      </c>
      <c r="M112" s="3">
        <f>J112*K112*L112</f>
        <v/>
      </c>
      <c r="N112" s="3" t="n">
        <v>802000</v>
      </c>
      <c r="O112" s="3" t="n">
        <v>235000</v>
      </c>
      <c r="P112" s="3">
        <f>M112-N112-O112*J112/365</f>
        <v/>
      </c>
      <c r="Q112" s="3">
        <f>IFERROR(M112/(N112+O112*J112/365),0)</f>
        <v/>
      </c>
      <c r="R112" s="3">
        <f>IFERROR(N112/((M112/MAX(1,J112)*365)-O112)*12,0)</f>
        <v/>
      </c>
    </row>
    <row r="113">
      <c r="A113" s="3" t="inlineStr">
        <is>
          <t>EC-TRN-13-C1-A</t>
        </is>
      </c>
      <c r="B113" s="3" t="inlineStr">
        <is>
          <t>TRN-13</t>
        </is>
      </c>
      <c r="C113" s="3" t="inlineStr">
        <is>
          <t>Учебная скважина 13 · Майское учебное / скв. 113 / Визейский горизонт</t>
        </is>
      </c>
      <c r="D113" s="4" t="n">
        <v>45520</v>
      </c>
      <c r="E113" s="3" t="n">
        <v>1</v>
      </c>
      <c r="F113" s="3" t="inlineStr">
        <is>
          <t>Повтор метода</t>
        </is>
      </c>
      <c r="G113" s="3" t="inlineStr">
        <is>
          <t>Повторная корректировка: Подбор газосепаратора</t>
        </is>
      </c>
      <c r="H113" s="3" t="n">
        <v>278</v>
      </c>
      <c r="I113" s="3" t="n">
        <v>349</v>
      </c>
      <c r="J113" s="3">
        <f>MAX(I113-H113,0)</f>
        <v/>
      </c>
      <c r="K113" s="3" t="n">
        <v>56.2</v>
      </c>
      <c r="L113" s="3" t="n">
        <v>10400</v>
      </c>
      <c r="M113" s="3">
        <f>J113*K113*L113</f>
        <v/>
      </c>
      <c r="N113" s="3" t="n">
        <v>325500</v>
      </c>
      <c r="O113" s="3" t="n">
        <v>115000</v>
      </c>
      <c r="P113" s="3">
        <f>M113-N113-O113*J113/365</f>
        <v/>
      </c>
      <c r="Q113" s="3">
        <f>IFERROR(M113/(N113+O113*J113/365),0)</f>
        <v/>
      </c>
      <c r="R113" s="3">
        <f>IFERROR(N113/((M113/MAX(1,J113)*365)-O113)*12,0)</f>
        <v/>
      </c>
    </row>
    <row r="114">
      <c r="A114" s="3" t="inlineStr">
        <is>
          <t>EC-TRN-13-C1-B</t>
        </is>
      </c>
      <c r="B114" s="3" t="inlineStr">
        <is>
          <t>TRN-13</t>
        </is>
      </c>
      <c r="C114" s="3" t="inlineStr">
        <is>
          <t>Учебная скважина 13 · Майское учебное / скв. 113 / Визейский горизонт</t>
        </is>
      </c>
      <c r="D114" s="4" t="n">
        <v>45520</v>
      </c>
      <c r="E114" s="3" t="n">
        <v>1</v>
      </c>
      <c r="F114" s="3" t="inlineStr">
        <is>
          <t>Новый подбор</t>
        </is>
      </c>
      <c r="G114" s="3" t="inlineStr">
        <is>
          <t>Повторная корректировка: Подбор газосепаратора · лабораторная корректировка</t>
        </is>
      </c>
      <c r="H114" s="3" t="n">
        <v>278</v>
      </c>
      <c r="I114" s="3" t="n">
        <v>379</v>
      </c>
      <c r="J114" s="3">
        <f>MAX(I114-H114,0)</f>
        <v/>
      </c>
      <c r="K114" s="3" t="n">
        <v>56.2</v>
      </c>
      <c r="L114" s="3" t="n">
        <v>10400</v>
      </c>
      <c r="M114" s="3">
        <f>J114*K114*L114</f>
        <v/>
      </c>
      <c r="N114" s="3" t="n">
        <v>565500</v>
      </c>
      <c r="O114" s="3" t="n">
        <v>165000</v>
      </c>
      <c r="P114" s="3">
        <f>M114-N114-O114*J114/365</f>
        <v/>
      </c>
      <c r="Q114" s="3">
        <f>IFERROR(M114/(N114+O114*J114/365),0)</f>
        <v/>
      </c>
      <c r="R114" s="3">
        <f>IFERROR(N114/((M114/MAX(1,J114)*365)-O114)*12,0)</f>
        <v/>
      </c>
    </row>
    <row r="115">
      <c r="A115" s="3" t="inlineStr">
        <is>
          <t>EC-TRN-13-C1-C</t>
        </is>
      </c>
      <c r="B115" s="3" t="inlineStr">
        <is>
          <t>TRN-13</t>
        </is>
      </c>
      <c r="C115" s="3" t="inlineStr">
        <is>
          <t>Учебная скважина 13 · Майское учебное / скв. 113 / Визейский горизонт</t>
        </is>
      </c>
      <c r="D115" s="4" t="n">
        <v>45520</v>
      </c>
      <c r="E115" s="3" t="n">
        <v>1</v>
      </c>
      <c r="F115" s="3" t="inlineStr">
        <is>
          <t>Комплексная защита</t>
        </is>
      </c>
      <c r="G115" s="3" t="inlineStr">
        <is>
          <t>Комплекс: Повторная корректировка: Подбор газосепаратора + мониторинг</t>
        </is>
      </c>
      <c r="H115" s="3" t="n">
        <v>278</v>
      </c>
      <c r="I115" s="3" t="n">
        <v>409</v>
      </c>
      <c r="J115" s="3">
        <f>MAX(I115-H115,0)</f>
        <v/>
      </c>
      <c r="K115" s="3" t="n">
        <v>56.2</v>
      </c>
      <c r="L115" s="3" t="n">
        <v>10400</v>
      </c>
      <c r="M115" s="3">
        <f>J115*K115*L115</f>
        <v/>
      </c>
      <c r="N115" s="3" t="n">
        <v>805500</v>
      </c>
      <c r="O115" s="3" t="n">
        <v>235000</v>
      </c>
      <c r="P115" s="3">
        <f>M115-N115-O115*J115/365</f>
        <v/>
      </c>
      <c r="Q115" s="3">
        <f>IFERROR(M115/(N115+O115*J115/365),0)</f>
        <v/>
      </c>
      <c r="R115" s="3">
        <f>IFERROR(N115/((M115/MAX(1,J115)*365)-O115)*12,0)</f>
        <v/>
      </c>
    </row>
    <row r="116">
      <c r="A116" s="3" t="inlineStr">
        <is>
          <t>EC-TRN-13-C2-A</t>
        </is>
      </c>
      <c r="B116" s="3" t="inlineStr">
        <is>
          <t>TRN-13</t>
        </is>
      </c>
      <c r="C116" s="3" t="inlineStr">
        <is>
          <t>Учебная скважина 13 · Майское учебное / скв. 113 / Визейский горизонт</t>
        </is>
      </c>
      <c r="D116" s="4" t="n">
        <v>45744</v>
      </c>
      <c r="E116" s="3" t="n">
        <v>2</v>
      </c>
      <c r="F116" s="3" t="inlineStr">
        <is>
          <t>Повтор метода</t>
        </is>
      </c>
      <c r="G116" s="3" t="inlineStr">
        <is>
          <t>Тепловой режим + ингибитор гидратов</t>
        </is>
      </c>
      <c r="H116" s="3" t="n">
        <v>214</v>
      </c>
      <c r="I116" s="3" t="n">
        <v>247</v>
      </c>
      <c r="J116" s="3">
        <f>MAX(I116-H116,0)</f>
        <v/>
      </c>
      <c r="K116" s="3" t="n">
        <v>56.2</v>
      </c>
      <c r="L116" s="3" t="n">
        <v>10400</v>
      </c>
      <c r="M116" s="3">
        <f>J116*K116*L116</f>
        <v/>
      </c>
      <c r="N116" s="3" t="n">
        <v>325500</v>
      </c>
      <c r="O116" s="3" t="n">
        <v>115000</v>
      </c>
      <c r="P116" s="3">
        <f>M116-N116-O116*J116/365</f>
        <v/>
      </c>
      <c r="Q116" s="3">
        <f>IFERROR(M116/(N116+O116*J116/365),0)</f>
        <v/>
      </c>
      <c r="R116" s="3">
        <f>IFERROR(N116/((M116/MAX(1,J116)*365)-O116)*12,0)</f>
        <v/>
      </c>
    </row>
    <row r="117">
      <c r="A117" s="3" t="inlineStr">
        <is>
          <t>EC-TRN-13-C2-B</t>
        </is>
      </c>
      <c r="B117" s="3" t="inlineStr">
        <is>
          <t>TRN-13</t>
        </is>
      </c>
      <c r="C117" s="3" t="inlineStr">
        <is>
          <t>Учебная скважина 13 · Майское учебное / скв. 113 / Визейский горизонт</t>
        </is>
      </c>
      <c r="D117" s="4" t="n">
        <v>45744</v>
      </c>
      <c r="E117" s="3" t="n">
        <v>2</v>
      </c>
      <c r="F117" s="3" t="inlineStr">
        <is>
          <t>Новый подбор</t>
        </is>
      </c>
      <c r="G117" s="3" t="inlineStr">
        <is>
          <t>Тепловой режим + ингибитор гидратов · лабораторная корректировка</t>
        </is>
      </c>
      <c r="H117" s="3" t="n">
        <v>214</v>
      </c>
      <c r="I117" s="3" t="n">
        <v>277</v>
      </c>
      <c r="J117" s="3">
        <f>MAX(I117-H117,0)</f>
        <v/>
      </c>
      <c r="K117" s="3" t="n">
        <v>56.2</v>
      </c>
      <c r="L117" s="3" t="n">
        <v>10400</v>
      </c>
      <c r="M117" s="3">
        <f>J117*K117*L117</f>
        <v/>
      </c>
      <c r="N117" s="3" t="n">
        <v>565500</v>
      </c>
      <c r="O117" s="3" t="n">
        <v>165000</v>
      </c>
      <c r="P117" s="3">
        <f>M117-N117-O117*J117/365</f>
        <v/>
      </c>
      <c r="Q117" s="3">
        <f>IFERROR(M117/(N117+O117*J117/365),0)</f>
        <v/>
      </c>
      <c r="R117" s="3">
        <f>IFERROR(N117/((M117/MAX(1,J117)*365)-O117)*12,0)</f>
        <v/>
      </c>
    </row>
    <row r="118">
      <c r="A118" s="3" t="inlineStr">
        <is>
          <t>EC-TRN-13-C2-C</t>
        </is>
      </c>
      <c r="B118" s="3" t="inlineStr">
        <is>
          <t>TRN-13</t>
        </is>
      </c>
      <c r="C118" s="3" t="inlineStr">
        <is>
          <t>Учебная скважина 13 · Майское учебное / скв. 113 / Визейский горизонт</t>
        </is>
      </c>
      <c r="D118" s="4" t="n">
        <v>45744</v>
      </c>
      <c r="E118" s="3" t="n">
        <v>2</v>
      </c>
      <c r="F118" s="3" t="inlineStr">
        <is>
          <t>Комплексная защита</t>
        </is>
      </c>
      <c r="G118" s="3" t="inlineStr">
        <is>
          <t>Комплекс: Тепловой режим + ингибитор гидратов + мониторинг</t>
        </is>
      </c>
      <c r="H118" s="3" t="n">
        <v>214</v>
      </c>
      <c r="I118" s="3" t="n">
        <v>307</v>
      </c>
      <c r="J118" s="3">
        <f>MAX(I118-H118,0)</f>
        <v/>
      </c>
      <c r="K118" s="3" t="n">
        <v>56.2</v>
      </c>
      <c r="L118" s="3" t="n">
        <v>10400</v>
      </c>
      <c r="M118" s="3">
        <f>J118*K118*L118</f>
        <v/>
      </c>
      <c r="N118" s="3" t="n">
        <v>805500</v>
      </c>
      <c r="O118" s="3" t="n">
        <v>235000</v>
      </c>
      <c r="P118" s="3">
        <f>M118-N118-O118*J118/365</f>
        <v/>
      </c>
      <c r="Q118" s="3">
        <f>IFERROR(M118/(N118+O118*J118/365),0)</f>
        <v/>
      </c>
      <c r="R118" s="3">
        <f>IFERROR(N118/((M118/MAX(1,J118)*365)-O118)*12,0)</f>
        <v/>
      </c>
    </row>
    <row r="119">
      <c r="A119" s="3" t="inlineStr">
        <is>
          <t>EC-TRN-13-C3-A</t>
        </is>
      </c>
      <c r="B119" s="3" t="inlineStr">
        <is>
          <t>TRN-13</t>
        </is>
      </c>
      <c r="C119" s="3" t="inlineStr">
        <is>
          <t>Учебная скважина 13 · Майское учебное / скв. 113 / Визейский горизонт</t>
        </is>
      </c>
      <c r="D119" s="4" t="n">
        <v>46241</v>
      </c>
      <c r="E119" s="3" t="n">
        <v>3</v>
      </c>
      <c r="F119" s="3" t="inlineStr">
        <is>
          <t>Повтор метода</t>
        </is>
      </c>
      <c r="G119" s="3" t="inlineStr">
        <is>
          <t>Подбор растворителя и профилактики</t>
        </is>
      </c>
      <c r="H119" s="3" t="n">
        <v>493</v>
      </c>
      <c r="I119" s="3" t="n">
        <v>543</v>
      </c>
      <c r="J119" s="3">
        <f>MAX(I119-H119,0)</f>
        <v/>
      </c>
      <c r="K119" s="3" t="n">
        <v>56.2</v>
      </c>
      <c r="L119" s="3" t="n">
        <v>10400</v>
      </c>
      <c r="M119" s="3">
        <f>J119*K119*L119</f>
        <v/>
      </c>
      <c r="N119" s="3" t="n">
        <v>325500</v>
      </c>
      <c r="O119" s="3" t="n">
        <v>115000</v>
      </c>
      <c r="P119" s="3">
        <f>M119-N119-O119*J119/365</f>
        <v/>
      </c>
      <c r="Q119" s="3">
        <f>IFERROR(M119/(N119+O119*J119/365),0)</f>
        <v/>
      </c>
      <c r="R119" s="3">
        <f>IFERROR(N119/((M119/MAX(1,J119)*365)-O119)*12,0)</f>
        <v/>
      </c>
    </row>
    <row r="120">
      <c r="A120" s="3" t="inlineStr">
        <is>
          <t>EC-TRN-13-C3-B</t>
        </is>
      </c>
      <c r="B120" s="3" t="inlineStr">
        <is>
          <t>TRN-13</t>
        </is>
      </c>
      <c r="C120" s="3" t="inlineStr">
        <is>
          <t>Учебная скважина 13 · Майское учебное / скв. 113 / Визейский горизонт</t>
        </is>
      </c>
      <c r="D120" s="4" t="n">
        <v>46241</v>
      </c>
      <c r="E120" s="3" t="n">
        <v>3</v>
      </c>
      <c r="F120" s="3" t="inlineStr">
        <is>
          <t>Новый подбор</t>
        </is>
      </c>
      <c r="G120" s="3" t="inlineStr">
        <is>
          <t>Подбор растворителя и профилактики · лабораторная корректировка</t>
        </is>
      </c>
      <c r="H120" s="3" t="n">
        <v>493</v>
      </c>
      <c r="I120" s="3" t="n">
        <v>573</v>
      </c>
      <c r="J120" s="3">
        <f>MAX(I120-H120,0)</f>
        <v/>
      </c>
      <c r="K120" s="3" t="n">
        <v>56.2</v>
      </c>
      <c r="L120" s="3" t="n">
        <v>10400</v>
      </c>
      <c r="M120" s="3">
        <f>J120*K120*L120</f>
        <v/>
      </c>
      <c r="N120" s="3" t="n">
        <v>565500</v>
      </c>
      <c r="O120" s="3" t="n">
        <v>165000</v>
      </c>
      <c r="P120" s="3">
        <f>M120-N120-O120*J120/365</f>
        <v/>
      </c>
      <c r="Q120" s="3">
        <f>IFERROR(M120/(N120+O120*J120/365),0)</f>
        <v/>
      </c>
      <c r="R120" s="3">
        <f>IFERROR(N120/((M120/MAX(1,J120)*365)-O120)*12,0)</f>
        <v/>
      </c>
    </row>
    <row r="121">
      <c r="A121" s="3" t="inlineStr">
        <is>
          <t>EC-TRN-13-C3-C</t>
        </is>
      </c>
      <c r="B121" s="3" t="inlineStr">
        <is>
          <t>TRN-13</t>
        </is>
      </c>
      <c r="C121" s="3" t="inlineStr">
        <is>
          <t>Учебная скважина 13 · Майское учебное / скв. 113 / Визейский горизонт</t>
        </is>
      </c>
      <c r="D121" s="4" t="n">
        <v>46241</v>
      </c>
      <c r="E121" s="3" t="n">
        <v>3</v>
      </c>
      <c r="F121" s="3" t="inlineStr">
        <is>
          <t>Комплексная защита</t>
        </is>
      </c>
      <c r="G121" s="3" t="inlineStr">
        <is>
          <t>Комплекс: Подбор растворителя и профилактики + мониторинг</t>
        </is>
      </c>
      <c r="H121" s="3" t="n">
        <v>493</v>
      </c>
      <c r="I121" s="3" t="n">
        <v>603</v>
      </c>
      <c r="J121" s="3">
        <f>MAX(I121-H121,0)</f>
        <v/>
      </c>
      <c r="K121" s="3" t="n">
        <v>56.2</v>
      </c>
      <c r="L121" s="3" t="n">
        <v>10400</v>
      </c>
      <c r="M121" s="3">
        <f>J121*K121*L121</f>
        <v/>
      </c>
      <c r="N121" s="3" t="n">
        <v>805500</v>
      </c>
      <c r="O121" s="3" t="n">
        <v>235000</v>
      </c>
      <c r="P121" s="3">
        <f>M121-N121-O121*J121/365</f>
        <v/>
      </c>
      <c r="Q121" s="3">
        <f>IFERROR(M121/(N121+O121*J121/365),0)</f>
        <v/>
      </c>
      <c r="R121" s="3">
        <f>IFERROR(N121/((M121/MAX(1,J121)*365)-O121)*12,0)</f>
        <v/>
      </c>
    </row>
    <row r="122">
      <c r="A122" s="3" t="inlineStr">
        <is>
          <t>EC-TRN-14-C1-A</t>
        </is>
      </c>
      <c r="B122" s="3" t="inlineStr">
        <is>
          <t>TRN-14</t>
        </is>
      </c>
      <c r="C122" s="3" t="inlineStr">
        <is>
          <t>Учебная скважина 14 · Октябрьское учебное / скв. 114 / Девонский горизонт</t>
        </is>
      </c>
      <c r="D122" s="4" t="n">
        <v>45620</v>
      </c>
      <c r="E122" s="3" t="n">
        <v>1</v>
      </c>
      <c r="F122" s="3" t="inlineStr">
        <is>
          <t>Повтор метода</t>
        </is>
      </c>
      <c r="G122" s="3" t="inlineStr">
        <is>
          <t>Биоцидная обработка + контроль</t>
        </is>
      </c>
      <c r="H122" s="3" t="n">
        <v>376</v>
      </c>
      <c r="I122" s="3" t="n">
        <v>405</v>
      </c>
      <c r="J122" s="3">
        <f>MAX(I122-H122,0)</f>
        <v/>
      </c>
      <c r="K122" s="3" t="n">
        <v>21.5</v>
      </c>
      <c r="L122" s="3" t="n">
        <v>12100</v>
      </c>
      <c r="M122" s="3">
        <f>J122*K122*L122</f>
        <v/>
      </c>
      <c r="N122" s="3" t="n">
        <v>329000</v>
      </c>
      <c r="O122" s="3" t="n">
        <v>115000</v>
      </c>
      <c r="P122" s="3">
        <f>M122-N122-O122*J122/365</f>
        <v/>
      </c>
      <c r="Q122" s="3">
        <f>IFERROR(M122/(N122+O122*J122/365),0)</f>
        <v/>
      </c>
      <c r="R122" s="3">
        <f>IFERROR(N122/((M122/MAX(1,J122)*365)-O122)*12,0)</f>
        <v/>
      </c>
    </row>
    <row r="123">
      <c r="A123" s="3" t="inlineStr">
        <is>
          <t>EC-TRN-14-C1-B</t>
        </is>
      </c>
      <c r="B123" s="3" t="inlineStr">
        <is>
          <t>TRN-14</t>
        </is>
      </c>
      <c r="C123" s="3" t="inlineStr">
        <is>
          <t>Учебная скважина 14 · Октябрьское учебное / скв. 114 / Девонский горизонт</t>
        </is>
      </c>
      <c r="D123" s="4" t="n">
        <v>45620</v>
      </c>
      <c r="E123" s="3" t="n">
        <v>1</v>
      </c>
      <c r="F123" s="3" t="inlineStr">
        <is>
          <t>Новый подбор</t>
        </is>
      </c>
      <c r="G123" s="3" t="inlineStr">
        <is>
          <t>Биоцидная обработка + контроль · лабораторная корректировка</t>
        </is>
      </c>
      <c r="H123" s="3" t="n">
        <v>376</v>
      </c>
      <c r="I123" s="3" t="n">
        <v>435</v>
      </c>
      <c r="J123" s="3">
        <f>MAX(I123-H123,0)</f>
        <v/>
      </c>
      <c r="K123" s="3" t="n">
        <v>21.5</v>
      </c>
      <c r="L123" s="3" t="n">
        <v>12100</v>
      </c>
      <c r="M123" s="3">
        <f>J123*K123*L123</f>
        <v/>
      </c>
      <c r="N123" s="3" t="n">
        <v>569000</v>
      </c>
      <c r="O123" s="3" t="n">
        <v>165000</v>
      </c>
      <c r="P123" s="3">
        <f>M123-N123-O123*J123/365</f>
        <v/>
      </c>
      <c r="Q123" s="3">
        <f>IFERROR(M123/(N123+O123*J123/365),0)</f>
        <v/>
      </c>
      <c r="R123" s="3">
        <f>IFERROR(N123/((M123/MAX(1,J123)*365)-O123)*12,0)</f>
        <v/>
      </c>
    </row>
    <row r="124">
      <c r="A124" s="3" t="inlineStr">
        <is>
          <t>EC-TRN-14-C1-C</t>
        </is>
      </c>
      <c r="B124" s="3" t="inlineStr">
        <is>
          <t>TRN-14</t>
        </is>
      </c>
      <c r="C124" s="3" t="inlineStr">
        <is>
          <t>Учебная скважина 14 · Октябрьское учебное / скв. 114 / Девонский горизонт</t>
        </is>
      </c>
      <c r="D124" s="4" t="n">
        <v>45620</v>
      </c>
      <c r="E124" s="3" t="n">
        <v>1</v>
      </c>
      <c r="F124" s="3" t="inlineStr">
        <is>
          <t>Комплексная защита</t>
        </is>
      </c>
      <c r="G124" s="3" t="inlineStr">
        <is>
          <t>Комплекс: Биоцидная обработка + контроль + мониторинг</t>
        </is>
      </c>
      <c r="H124" s="3" t="n">
        <v>376</v>
      </c>
      <c r="I124" s="3" t="n">
        <v>465</v>
      </c>
      <c r="J124" s="3">
        <f>MAX(I124-H124,0)</f>
        <v/>
      </c>
      <c r="K124" s="3" t="n">
        <v>21.5</v>
      </c>
      <c r="L124" s="3" t="n">
        <v>12100</v>
      </c>
      <c r="M124" s="3">
        <f>J124*K124*L124</f>
        <v/>
      </c>
      <c r="N124" s="3" t="n">
        <v>809000</v>
      </c>
      <c r="O124" s="3" t="n">
        <v>235000</v>
      </c>
      <c r="P124" s="3">
        <f>M124-N124-O124*J124/365</f>
        <v/>
      </c>
      <c r="Q124" s="3">
        <f>IFERROR(M124/(N124+O124*J124/365),0)</f>
        <v/>
      </c>
      <c r="R124" s="3">
        <f>IFERROR(N124/((M124/MAX(1,J124)*365)-O124)*12,0)</f>
        <v/>
      </c>
    </row>
    <row r="125">
      <c r="A125" s="3" t="inlineStr">
        <is>
          <t>EC-TRN-14-C2-A</t>
        </is>
      </c>
      <c r="B125" s="3" t="inlineStr">
        <is>
          <t>TRN-14</t>
        </is>
      </c>
      <c r="C125" s="3" t="inlineStr">
        <is>
          <t>Учебная скважина 14 · Октябрьское учебное / скв. 114 / Девонский горизонт</t>
        </is>
      </c>
      <c r="D125" s="4" t="n">
        <v>45837</v>
      </c>
      <c r="E125" s="3" t="n">
        <v>2</v>
      </c>
      <c r="F125" s="3" t="inlineStr">
        <is>
          <t>Повтор метода</t>
        </is>
      </c>
      <c r="G125" s="3" t="inlineStr">
        <is>
          <t>Ингибитор коррозии + контроль остатка</t>
        </is>
      </c>
      <c r="H125" s="3" t="n">
        <v>213</v>
      </c>
      <c r="I125" s="3" t="n">
        <v>259</v>
      </c>
      <c r="J125" s="3">
        <f>MAX(I125-H125,0)</f>
        <v/>
      </c>
      <c r="K125" s="3" t="n">
        <v>21.5</v>
      </c>
      <c r="L125" s="3" t="n">
        <v>12100</v>
      </c>
      <c r="M125" s="3">
        <f>J125*K125*L125</f>
        <v/>
      </c>
      <c r="N125" s="3" t="n">
        <v>329000</v>
      </c>
      <c r="O125" s="3" t="n">
        <v>115000</v>
      </c>
      <c r="P125" s="3">
        <f>M125-N125-O125*J125/365</f>
        <v/>
      </c>
      <c r="Q125" s="3">
        <f>IFERROR(M125/(N125+O125*J125/365),0)</f>
        <v/>
      </c>
      <c r="R125" s="3">
        <f>IFERROR(N125/((M125/MAX(1,J125)*365)-O125)*12,0)</f>
        <v/>
      </c>
    </row>
    <row r="126">
      <c r="A126" s="3" t="inlineStr">
        <is>
          <t>EC-TRN-14-C2-B</t>
        </is>
      </c>
      <c r="B126" s="3" t="inlineStr">
        <is>
          <t>TRN-14</t>
        </is>
      </c>
      <c r="C126" s="3" t="inlineStr">
        <is>
          <t>Учебная скважина 14 · Октябрьское учебное / скв. 114 / Девонский горизонт</t>
        </is>
      </c>
      <c r="D126" s="4" t="n">
        <v>45837</v>
      </c>
      <c r="E126" s="3" t="n">
        <v>2</v>
      </c>
      <c r="F126" s="3" t="inlineStr">
        <is>
          <t>Новый подбор</t>
        </is>
      </c>
      <c r="G126" s="3" t="inlineStr">
        <is>
          <t>Ингибитор коррозии + контроль остатка · лабораторная корректировка</t>
        </is>
      </c>
      <c r="H126" s="3" t="n">
        <v>213</v>
      </c>
      <c r="I126" s="3" t="n">
        <v>289</v>
      </c>
      <c r="J126" s="3">
        <f>MAX(I126-H126,0)</f>
        <v/>
      </c>
      <c r="K126" s="3" t="n">
        <v>21.5</v>
      </c>
      <c r="L126" s="3" t="n">
        <v>12100</v>
      </c>
      <c r="M126" s="3">
        <f>J126*K126*L126</f>
        <v/>
      </c>
      <c r="N126" s="3" t="n">
        <v>569000</v>
      </c>
      <c r="O126" s="3" t="n">
        <v>165000</v>
      </c>
      <c r="P126" s="3">
        <f>M126-N126-O126*J126/365</f>
        <v/>
      </c>
      <c r="Q126" s="3">
        <f>IFERROR(M126/(N126+O126*J126/365),0)</f>
        <v/>
      </c>
      <c r="R126" s="3">
        <f>IFERROR(N126/((M126/MAX(1,J126)*365)-O126)*12,0)</f>
        <v/>
      </c>
    </row>
    <row r="127">
      <c r="A127" s="3" t="inlineStr">
        <is>
          <t>EC-TRN-14-C2-C</t>
        </is>
      </c>
      <c r="B127" s="3" t="inlineStr">
        <is>
          <t>TRN-14</t>
        </is>
      </c>
      <c r="C127" s="3" t="inlineStr">
        <is>
          <t>Учебная скважина 14 · Октябрьское учебное / скв. 114 / Девонский горизонт</t>
        </is>
      </c>
      <c r="D127" s="4" t="n">
        <v>45837</v>
      </c>
      <c r="E127" s="3" t="n">
        <v>2</v>
      </c>
      <c r="F127" s="3" t="inlineStr">
        <is>
          <t>Комплексная защита</t>
        </is>
      </c>
      <c r="G127" s="3" t="inlineStr">
        <is>
          <t>Комплекс: Ингибитор коррозии + контроль остатка + мониторинг</t>
        </is>
      </c>
      <c r="H127" s="3" t="n">
        <v>213</v>
      </c>
      <c r="I127" s="3" t="n">
        <v>319</v>
      </c>
      <c r="J127" s="3">
        <f>MAX(I127-H127,0)</f>
        <v/>
      </c>
      <c r="K127" s="3" t="n">
        <v>21.5</v>
      </c>
      <c r="L127" s="3" t="n">
        <v>12100</v>
      </c>
      <c r="M127" s="3">
        <f>J127*K127*L127</f>
        <v/>
      </c>
      <c r="N127" s="3" t="n">
        <v>809000</v>
      </c>
      <c r="O127" s="3" t="n">
        <v>235000</v>
      </c>
      <c r="P127" s="3">
        <f>M127-N127-O127*J127/365</f>
        <v/>
      </c>
      <c r="Q127" s="3">
        <f>IFERROR(M127/(N127+O127*J127/365),0)</f>
        <v/>
      </c>
      <c r="R127" s="3">
        <f>IFERROR(N127/((M127/MAX(1,J127)*365)-O127)*12,0)</f>
        <v/>
      </c>
    </row>
    <row r="128">
      <c r="A128" s="3" t="inlineStr">
        <is>
          <t>EC-TRN-14-C3-A</t>
        </is>
      </c>
      <c r="B128" s="3" t="inlineStr">
        <is>
          <t>TRN-14</t>
        </is>
      </c>
      <c r="C128" s="3" t="inlineStr">
        <is>
          <t>Учебная скважина 14 · Октябрьское учебное / скв. 114 / Девонский горизонт</t>
        </is>
      </c>
      <c r="D128" s="4" t="n">
        <v>46303</v>
      </c>
      <c r="E128" s="3" t="n">
        <v>3</v>
      </c>
      <c r="F128" s="3" t="inlineStr">
        <is>
          <t>Повтор метода</t>
        </is>
      </c>
      <c r="G128" s="3" t="inlineStr">
        <is>
          <t>Повторная корректировка: Подбор газосепаратора</t>
        </is>
      </c>
      <c r="H128" s="3" t="n">
        <v>466</v>
      </c>
      <c r="I128" s="3" t="n">
        <v>529</v>
      </c>
      <c r="J128" s="3">
        <f>MAX(I128-H128,0)</f>
        <v/>
      </c>
      <c r="K128" s="3" t="n">
        <v>21.5</v>
      </c>
      <c r="L128" s="3" t="n">
        <v>12100</v>
      </c>
      <c r="M128" s="3">
        <f>J128*K128*L128</f>
        <v/>
      </c>
      <c r="N128" s="3" t="n">
        <v>329000</v>
      </c>
      <c r="O128" s="3" t="n">
        <v>115000</v>
      </c>
      <c r="P128" s="3">
        <f>M128-N128-O128*J128/365</f>
        <v/>
      </c>
      <c r="Q128" s="3">
        <f>IFERROR(M128/(N128+O128*J128/365),0)</f>
        <v/>
      </c>
      <c r="R128" s="3">
        <f>IFERROR(N128/((M128/MAX(1,J128)*365)-O128)*12,0)</f>
        <v/>
      </c>
    </row>
    <row r="129">
      <c r="A129" s="3" t="inlineStr">
        <is>
          <t>EC-TRN-14-C3-B</t>
        </is>
      </c>
      <c r="B129" s="3" t="inlineStr">
        <is>
          <t>TRN-14</t>
        </is>
      </c>
      <c r="C129" s="3" t="inlineStr">
        <is>
          <t>Учебная скважина 14 · Октябрьское учебное / скв. 114 / Девонский горизонт</t>
        </is>
      </c>
      <c r="D129" s="4" t="n">
        <v>46303</v>
      </c>
      <c r="E129" s="3" t="n">
        <v>3</v>
      </c>
      <c r="F129" s="3" t="inlineStr">
        <is>
          <t>Новый подбор</t>
        </is>
      </c>
      <c r="G129" s="3" t="inlineStr">
        <is>
          <t>Повторная корректировка: Подбор газосепаратора · лабораторная корректировка</t>
        </is>
      </c>
      <c r="H129" s="3" t="n">
        <v>466</v>
      </c>
      <c r="I129" s="3" t="n">
        <v>559</v>
      </c>
      <c r="J129" s="3">
        <f>MAX(I129-H129,0)</f>
        <v/>
      </c>
      <c r="K129" s="3" t="n">
        <v>21.5</v>
      </c>
      <c r="L129" s="3" t="n">
        <v>12100</v>
      </c>
      <c r="M129" s="3">
        <f>J129*K129*L129</f>
        <v/>
      </c>
      <c r="N129" s="3" t="n">
        <v>569000</v>
      </c>
      <c r="O129" s="3" t="n">
        <v>165000</v>
      </c>
      <c r="P129" s="3">
        <f>M129-N129-O129*J129/365</f>
        <v/>
      </c>
      <c r="Q129" s="3">
        <f>IFERROR(M129/(N129+O129*J129/365),0)</f>
        <v/>
      </c>
      <c r="R129" s="3">
        <f>IFERROR(N129/((M129/MAX(1,J129)*365)-O129)*12,0)</f>
        <v/>
      </c>
    </row>
    <row r="130">
      <c r="A130" s="3" t="inlineStr">
        <is>
          <t>EC-TRN-14-C3-C</t>
        </is>
      </c>
      <c r="B130" s="3" t="inlineStr">
        <is>
          <t>TRN-14</t>
        </is>
      </c>
      <c r="C130" s="3" t="inlineStr">
        <is>
          <t>Учебная скважина 14 · Октябрьское учебное / скв. 114 / Девонский горизонт</t>
        </is>
      </c>
      <c r="D130" s="4" t="n">
        <v>46303</v>
      </c>
      <c r="E130" s="3" t="n">
        <v>3</v>
      </c>
      <c r="F130" s="3" t="inlineStr">
        <is>
          <t>Комплексная защита</t>
        </is>
      </c>
      <c r="G130" s="3" t="inlineStr">
        <is>
          <t>Комплекс: Повторная корректировка: Подбор газосепаратора + мониторинг</t>
        </is>
      </c>
      <c r="H130" s="3" t="n">
        <v>466</v>
      </c>
      <c r="I130" s="3" t="n">
        <v>589</v>
      </c>
      <c r="J130" s="3">
        <f>MAX(I130-H130,0)</f>
        <v/>
      </c>
      <c r="K130" s="3" t="n">
        <v>21.5</v>
      </c>
      <c r="L130" s="3" t="n">
        <v>12100</v>
      </c>
      <c r="M130" s="3">
        <f>J130*K130*L130</f>
        <v/>
      </c>
      <c r="N130" s="3" t="n">
        <v>809000</v>
      </c>
      <c r="O130" s="3" t="n">
        <v>235000</v>
      </c>
      <c r="P130" s="3">
        <f>M130-N130-O130*J130/365</f>
        <v/>
      </c>
      <c r="Q130" s="3">
        <f>IFERROR(M130/(N130+O130*J130/365),0)</f>
        <v/>
      </c>
      <c r="R130" s="3">
        <f>IFERROR(N130/((M130/MAX(1,J130)*365)-O130)*12,0)</f>
        <v/>
      </c>
    </row>
    <row r="131">
      <c r="A131" s="3" t="inlineStr">
        <is>
          <t>EC-TRN-15-C1-A</t>
        </is>
      </c>
      <c r="B131" s="3" t="inlineStr">
        <is>
          <t>TRN-15</t>
        </is>
      </c>
      <c r="C131" s="3" t="inlineStr">
        <is>
          <t>Учебная скважина 15 · Сосновское учебное / скв. 115 / Карбонатный пласт</t>
        </is>
      </c>
      <c r="D131" s="4" t="n">
        <v>45407</v>
      </c>
      <c r="E131" s="3" t="n">
        <v>1</v>
      </c>
      <c r="F131" s="3" t="inlineStr">
        <is>
          <t>Повтор метода</t>
        </is>
      </c>
      <c r="G131" s="3" t="inlineStr">
        <is>
          <t>Ингибитор солеотложений</t>
        </is>
      </c>
      <c r="H131" s="3" t="n">
        <v>168</v>
      </c>
      <c r="I131" s="3" t="n">
        <v>210</v>
      </c>
      <c r="J131" s="3">
        <f>MAX(I131-H131,0)</f>
        <v/>
      </c>
      <c r="K131" s="3" t="n">
        <v>21.4</v>
      </c>
      <c r="L131" s="3" t="n">
        <v>9800</v>
      </c>
      <c r="M131" s="3">
        <f>J131*K131*L131</f>
        <v/>
      </c>
      <c r="N131" s="3" t="n">
        <v>332500</v>
      </c>
      <c r="O131" s="3" t="n">
        <v>115000</v>
      </c>
      <c r="P131" s="3">
        <f>M131-N131-O131*J131/365</f>
        <v/>
      </c>
      <c r="Q131" s="3">
        <f>IFERROR(M131/(N131+O131*J131/365),0)</f>
        <v/>
      </c>
      <c r="R131" s="3">
        <f>IFERROR(N131/((M131/MAX(1,J131)*365)-O131)*12,0)</f>
        <v/>
      </c>
    </row>
    <row r="132">
      <c r="A132" s="3" t="inlineStr">
        <is>
          <t>EC-TRN-15-C1-B</t>
        </is>
      </c>
      <c r="B132" s="3" t="inlineStr">
        <is>
          <t>TRN-15</t>
        </is>
      </c>
      <c r="C132" s="3" t="inlineStr">
        <is>
          <t>Учебная скважина 15 · Сосновское учебное / скв. 115 / Карбонатный пласт</t>
        </is>
      </c>
      <c r="D132" s="4" t="n">
        <v>45407</v>
      </c>
      <c r="E132" s="3" t="n">
        <v>1</v>
      </c>
      <c r="F132" s="3" t="inlineStr">
        <is>
          <t>Новый подбор</t>
        </is>
      </c>
      <c r="G132" s="3" t="inlineStr">
        <is>
          <t>Ингибитор солеотложений · лабораторная корректировка</t>
        </is>
      </c>
      <c r="H132" s="3" t="n">
        <v>168</v>
      </c>
      <c r="I132" s="3" t="n">
        <v>240</v>
      </c>
      <c r="J132" s="3">
        <f>MAX(I132-H132,0)</f>
        <v/>
      </c>
      <c r="K132" s="3" t="n">
        <v>21.4</v>
      </c>
      <c r="L132" s="3" t="n">
        <v>9800</v>
      </c>
      <c r="M132" s="3">
        <f>J132*K132*L132</f>
        <v/>
      </c>
      <c r="N132" s="3" t="n">
        <v>572500</v>
      </c>
      <c r="O132" s="3" t="n">
        <v>165000</v>
      </c>
      <c r="P132" s="3">
        <f>M132-N132-O132*J132/365</f>
        <v/>
      </c>
      <c r="Q132" s="3">
        <f>IFERROR(M132/(N132+O132*J132/365),0)</f>
        <v/>
      </c>
      <c r="R132" s="3">
        <f>IFERROR(N132/((M132/MAX(1,J132)*365)-O132)*12,0)</f>
        <v/>
      </c>
    </row>
    <row r="133">
      <c r="A133" s="3" t="inlineStr">
        <is>
          <t>EC-TRN-15-C1-C</t>
        </is>
      </c>
      <c r="B133" s="3" t="inlineStr">
        <is>
          <t>TRN-15</t>
        </is>
      </c>
      <c r="C133" s="3" t="inlineStr">
        <is>
          <t>Учебная скважина 15 · Сосновское учебное / скв. 115 / Карбонатный пласт</t>
        </is>
      </c>
      <c r="D133" s="4" t="n">
        <v>45407</v>
      </c>
      <c r="E133" s="3" t="n">
        <v>1</v>
      </c>
      <c r="F133" s="3" t="inlineStr">
        <is>
          <t>Комплексная защита</t>
        </is>
      </c>
      <c r="G133" s="3" t="inlineStr">
        <is>
          <t>Комплекс: Ингибитор солеотложений + мониторинг</t>
        </is>
      </c>
      <c r="H133" s="3" t="n">
        <v>168</v>
      </c>
      <c r="I133" s="3" t="n">
        <v>270</v>
      </c>
      <c r="J133" s="3">
        <f>MAX(I133-H133,0)</f>
        <v/>
      </c>
      <c r="K133" s="3" t="n">
        <v>21.4</v>
      </c>
      <c r="L133" s="3" t="n">
        <v>9800</v>
      </c>
      <c r="M133" s="3">
        <f>J133*K133*L133</f>
        <v/>
      </c>
      <c r="N133" s="3" t="n">
        <v>812500</v>
      </c>
      <c r="O133" s="3" t="n">
        <v>235000</v>
      </c>
      <c r="P133" s="3">
        <f>M133-N133-O133*J133/365</f>
        <v/>
      </c>
      <c r="Q133" s="3">
        <f>IFERROR(M133/(N133+O133*J133/365),0)</f>
        <v/>
      </c>
      <c r="R133" s="3">
        <f>IFERROR(N133/((M133/MAX(1,J133)*365)-O133)*12,0)</f>
        <v/>
      </c>
    </row>
    <row r="134">
      <c r="A134" s="3" t="inlineStr">
        <is>
          <t>EC-TRN-15-C2-A</t>
        </is>
      </c>
      <c r="B134" s="3" t="inlineStr">
        <is>
          <t>TRN-15</t>
        </is>
      </c>
      <c r="C134" s="3" t="inlineStr">
        <is>
          <t>Учебная скважина 15 · Сосновское учебное / скв. 115 / Карбонатный пласт</t>
        </is>
      </c>
      <c r="D134" s="4" t="n">
        <v>45911</v>
      </c>
      <c r="E134" s="3" t="n">
        <v>2</v>
      </c>
      <c r="F134" s="3" t="inlineStr">
        <is>
          <t>Повтор метода</t>
        </is>
      </c>
      <c r="G134" s="3" t="inlineStr">
        <is>
          <t>Фильтрация и контроль фракций</t>
        </is>
      </c>
      <c r="H134" s="3" t="n">
        <v>499</v>
      </c>
      <c r="I134" s="3" t="n">
        <v>558</v>
      </c>
      <c r="J134" s="3">
        <f>MAX(I134-H134,0)</f>
        <v/>
      </c>
      <c r="K134" s="3" t="n">
        <v>21.4</v>
      </c>
      <c r="L134" s="3" t="n">
        <v>9800</v>
      </c>
      <c r="M134" s="3">
        <f>J134*K134*L134</f>
        <v/>
      </c>
      <c r="N134" s="3" t="n">
        <v>332500</v>
      </c>
      <c r="O134" s="3" t="n">
        <v>115000</v>
      </c>
      <c r="P134" s="3">
        <f>M134-N134-O134*J134/365</f>
        <v/>
      </c>
      <c r="Q134" s="3">
        <f>IFERROR(M134/(N134+O134*J134/365),0)</f>
        <v/>
      </c>
      <c r="R134" s="3">
        <f>IFERROR(N134/((M134/MAX(1,J134)*365)-O134)*12,0)</f>
        <v/>
      </c>
    </row>
    <row r="135">
      <c r="A135" s="3" t="inlineStr">
        <is>
          <t>EC-TRN-15-C2-B</t>
        </is>
      </c>
      <c r="B135" s="3" t="inlineStr">
        <is>
          <t>TRN-15</t>
        </is>
      </c>
      <c r="C135" s="3" t="inlineStr">
        <is>
          <t>Учебная скважина 15 · Сосновское учебное / скв. 115 / Карбонатный пласт</t>
        </is>
      </c>
      <c r="D135" s="4" t="n">
        <v>45911</v>
      </c>
      <c r="E135" s="3" t="n">
        <v>2</v>
      </c>
      <c r="F135" s="3" t="inlineStr">
        <is>
          <t>Новый подбор</t>
        </is>
      </c>
      <c r="G135" s="3" t="inlineStr">
        <is>
          <t>Фильтрация и контроль фракций · лабораторная корректировка</t>
        </is>
      </c>
      <c r="H135" s="3" t="n">
        <v>499</v>
      </c>
      <c r="I135" s="3" t="n">
        <v>588</v>
      </c>
      <c r="J135" s="3">
        <f>MAX(I135-H135,0)</f>
        <v/>
      </c>
      <c r="K135" s="3" t="n">
        <v>21.4</v>
      </c>
      <c r="L135" s="3" t="n">
        <v>9800</v>
      </c>
      <c r="M135" s="3">
        <f>J135*K135*L135</f>
        <v/>
      </c>
      <c r="N135" s="3" t="n">
        <v>572500</v>
      </c>
      <c r="O135" s="3" t="n">
        <v>165000</v>
      </c>
      <c r="P135" s="3">
        <f>M135-N135-O135*J135/365</f>
        <v/>
      </c>
      <c r="Q135" s="3">
        <f>IFERROR(M135/(N135+O135*J135/365),0)</f>
        <v/>
      </c>
      <c r="R135" s="3">
        <f>IFERROR(N135/((M135/MAX(1,J135)*365)-O135)*12,0)</f>
        <v/>
      </c>
    </row>
    <row r="136">
      <c r="A136" s="3" t="inlineStr">
        <is>
          <t>EC-TRN-15-C2-C</t>
        </is>
      </c>
      <c r="B136" s="3" t="inlineStr">
        <is>
          <t>TRN-15</t>
        </is>
      </c>
      <c r="C136" s="3" t="inlineStr">
        <is>
          <t>Учебная скважина 15 · Сосновское учебное / скв. 115 / Карбонатный пласт</t>
        </is>
      </c>
      <c r="D136" s="4" t="n">
        <v>45911</v>
      </c>
      <c r="E136" s="3" t="n">
        <v>2</v>
      </c>
      <c r="F136" s="3" t="inlineStr">
        <is>
          <t>Комплексная защита</t>
        </is>
      </c>
      <c r="G136" s="3" t="inlineStr">
        <is>
          <t>Комплекс: Фильтрация и контроль фракций + мониторинг</t>
        </is>
      </c>
      <c r="H136" s="3" t="n">
        <v>499</v>
      </c>
      <c r="I136" s="3" t="n">
        <v>618</v>
      </c>
      <c r="J136" s="3">
        <f>MAX(I136-H136,0)</f>
        <v/>
      </c>
      <c r="K136" s="3" t="n">
        <v>21.4</v>
      </c>
      <c r="L136" s="3" t="n">
        <v>9800</v>
      </c>
      <c r="M136" s="3">
        <f>J136*K136*L136</f>
        <v/>
      </c>
      <c r="N136" s="3" t="n">
        <v>812500</v>
      </c>
      <c r="O136" s="3" t="n">
        <v>235000</v>
      </c>
      <c r="P136" s="3">
        <f>M136-N136-O136*J136/365</f>
        <v/>
      </c>
      <c r="Q136" s="3">
        <f>IFERROR(M136/(N136+O136*J136/365),0)</f>
        <v/>
      </c>
      <c r="R136" s="3">
        <f>IFERROR(N136/((M136/MAX(1,J136)*365)-O136)*12,0)</f>
        <v/>
      </c>
    </row>
    <row r="137">
      <c r="A137" s="3" t="inlineStr">
        <is>
          <t>EC-TRN-15-C3-A</t>
        </is>
      </c>
      <c r="B137" s="3" t="inlineStr">
        <is>
          <t>TRN-15</t>
        </is>
      </c>
      <c r="C137" s="3" t="inlineStr">
        <is>
          <t>Учебная скважина 15 · Сосновское учебное / скв. 115 / Карбонатный пласт</t>
        </is>
      </c>
      <c r="D137" s="4" t="n">
        <v>46135</v>
      </c>
      <c r="E137" s="3" t="n">
        <v>3</v>
      </c>
      <c r="F137" s="3" t="inlineStr">
        <is>
          <t>Повтор метода</t>
        </is>
      </c>
      <c r="G137" s="3" t="inlineStr">
        <is>
          <t>Повторная корректировка: Биоцидная обработка + контроль</t>
        </is>
      </c>
      <c r="H137" s="3" t="n">
        <v>218</v>
      </c>
      <c r="I137" s="3" t="n">
        <v>294</v>
      </c>
      <c r="J137" s="3">
        <f>MAX(I137-H137,0)</f>
        <v/>
      </c>
      <c r="K137" s="3" t="n">
        <v>21.4</v>
      </c>
      <c r="L137" s="3" t="n">
        <v>9800</v>
      </c>
      <c r="M137" s="3">
        <f>J137*K137*L137</f>
        <v/>
      </c>
      <c r="N137" s="3" t="n">
        <v>332500</v>
      </c>
      <c r="O137" s="3" t="n">
        <v>115000</v>
      </c>
      <c r="P137" s="3">
        <f>M137-N137-O137*J137/365</f>
        <v/>
      </c>
      <c r="Q137" s="3">
        <f>IFERROR(M137/(N137+O137*J137/365),0)</f>
        <v/>
      </c>
      <c r="R137" s="3">
        <f>IFERROR(N137/((M137/MAX(1,J137)*365)-O137)*12,0)</f>
        <v/>
      </c>
    </row>
    <row r="138">
      <c r="A138" s="3" t="inlineStr">
        <is>
          <t>EC-TRN-15-C3-B</t>
        </is>
      </c>
      <c r="B138" s="3" t="inlineStr">
        <is>
          <t>TRN-15</t>
        </is>
      </c>
      <c r="C138" s="3" t="inlineStr">
        <is>
          <t>Учебная скважина 15 · Сосновское учебное / скв. 115 / Карбонатный пласт</t>
        </is>
      </c>
      <c r="D138" s="4" t="n">
        <v>46135</v>
      </c>
      <c r="E138" s="3" t="n">
        <v>3</v>
      </c>
      <c r="F138" s="3" t="inlineStr">
        <is>
          <t>Новый подбор</t>
        </is>
      </c>
      <c r="G138" s="3" t="inlineStr">
        <is>
          <t>Повторная корректировка: Биоцидная обработка + контроль · лабораторная корректировка</t>
        </is>
      </c>
      <c r="H138" s="3" t="n">
        <v>218</v>
      </c>
      <c r="I138" s="3" t="n">
        <v>324</v>
      </c>
      <c r="J138" s="3">
        <f>MAX(I138-H138,0)</f>
        <v/>
      </c>
      <c r="K138" s="3" t="n">
        <v>21.4</v>
      </c>
      <c r="L138" s="3" t="n">
        <v>9800</v>
      </c>
      <c r="M138" s="3">
        <f>J138*K138*L138</f>
        <v/>
      </c>
      <c r="N138" s="3" t="n">
        <v>572500</v>
      </c>
      <c r="O138" s="3" t="n">
        <v>165000</v>
      </c>
      <c r="P138" s="3">
        <f>M138-N138-O138*J138/365</f>
        <v/>
      </c>
      <c r="Q138" s="3">
        <f>IFERROR(M138/(N138+O138*J138/365),0)</f>
        <v/>
      </c>
      <c r="R138" s="3">
        <f>IFERROR(N138/((M138/MAX(1,J138)*365)-O138)*12,0)</f>
        <v/>
      </c>
    </row>
    <row r="139">
      <c r="A139" s="3" t="inlineStr">
        <is>
          <t>EC-TRN-15-C3-C</t>
        </is>
      </c>
      <c r="B139" s="3" t="inlineStr">
        <is>
          <t>TRN-15</t>
        </is>
      </c>
      <c r="C139" s="3" t="inlineStr">
        <is>
          <t>Учебная скважина 15 · Сосновское учебное / скв. 115 / Карбонатный пласт</t>
        </is>
      </c>
      <c r="D139" s="4" t="n">
        <v>46135</v>
      </c>
      <c r="E139" s="3" t="n">
        <v>3</v>
      </c>
      <c r="F139" s="3" t="inlineStr">
        <is>
          <t>Комплексная защита</t>
        </is>
      </c>
      <c r="G139" s="3" t="inlineStr">
        <is>
          <t>Комплекс: Повторная корректировка: Биоцидная обработка + контроль + мониторинг</t>
        </is>
      </c>
      <c r="H139" s="3" t="n">
        <v>218</v>
      </c>
      <c r="I139" s="3" t="n">
        <v>354</v>
      </c>
      <c r="J139" s="3">
        <f>MAX(I139-H139,0)</f>
        <v/>
      </c>
      <c r="K139" s="3" t="n">
        <v>21.4</v>
      </c>
      <c r="L139" s="3" t="n">
        <v>9800</v>
      </c>
      <c r="M139" s="3">
        <f>J139*K139*L139</f>
        <v/>
      </c>
      <c r="N139" s="3" t="n">
        <v>812500</v>
      </c>
      <c r="O139" s="3" t="n">
        <v>235000</v>
      </c>
      <c r="P139" s="3">
        <f>M139-N139-O139*J139/365</f>
        <v/>
      </c>
      <c r="Q139" s="3">
        <f>IFERROR(M139/(N139+O139*J139/365),0)</f>
        <v/>
      </c>
      <c r="R139" s="3">
        <f>IFERROR(N139/((M139/MAX(1,J139)*365)-O139)*12,0)</f>
        <v/>
      </c>
    </row>
    <row r="140">
      <c r="A140" s="3" t="inlineStr">
        <is>
          <t>EC-TRN-16-C1-A</t>
        </is>
      </c>
      <c r="B140" s="3" t="inlineStr">
        <is>
          <t>TRN-16</t>
        </is>
      </c>
      <c r="C140" s="3" t="inlineStr">
        <is>
          <t>Учебная скважина 16 · Луговое учебное / скв. 116 / Тульский горизонт</t>
        </is>
      </c>
      <c r="D140" s="4" t="n">
        <v>45480</v>
      </c>
      <c r="E140" s="3" t="n">
        <v>1</v>
      </c>
      <c r="F140" s="3" t="inlineStr">
        <is>
          <t>Повтор метода</t>
        </is>
      </c>
      <c r="G140" s="3" t="inlineStr">
        <is>
          <t>Тепловой режим + ингибитор гидратов</t>
        </is>
      </c>
      <c r="H140" s="3" t="n">
        <v>239</v>
      </c>
      <c r="I140" s="3" t="n">
        <v>294</v>
      </c>
      <c r="J140" s="3">
        <f>MAX(I140-H140,0)</f>
        <v/>
      </c>
      <c r="K140" s="3" t="n">
        <v>17.6</v>
      </c>
      <c r="L140" s="3" t="n">
        <v>11500</v>
      </c>
      <c r="M140" s="3">
        <f>J140*K140*L140</f>
        <v/>
      </c>
      <c r="N140" s="3" t="n">
        <v>336000</v>
      </c>
      <c r="O140" s="3" t="n">
        <v>115000</v>
      </c>
      <c r="P140" s="3">
        <f>M140-N140-O140*J140/365</f>
        <v/>
      </c>
      <c r="Q140" s="3">
        <f>IFERROR(M140/(N140+O140*J140/365),0)</f>
        <v/>
      </c>
      <c r="R140" s="3">
        <f>IFERROR(N140/((M140/MAX(1,J140)*365)-O140)*12,0)</f>
        <v/>
      </c>
    </row>
    <row r="141">
      <c r="A141" s="3" t="inlineStr">
        <is>
          <t>EC-TRN-16-C1-B</t>
        </is>
      </c>
      <c r="B141" s="3" t="inlineStr">
        <is>
          <t>TRN-16</t>
        </is>
      </c>
      <c r="C141" s="3" t="inlineStr">
        <is>
          <t>Учебная скважина 16 · Луговое учебное / скв. 116 / Тульский горизонт</t>
        </is>
      </c>
      <c r="D141" s="4" t="n">
        <v>45480</v>
      </c>
      <c r="E141" s="3" t="n">
        <v>1</v>
      </c>
      <c r="F141" s="3" t="inlineStr">
        <is>
          <t>Новый подбор</t>
        </is>
      </c>
      <c r="G141" s="3" t="inlineStr">
        <is>
          <t>Тепловой режим + ингибитор гидратов · лабораторная корректировка</t>
        </is>
      </c>
      <c r="H141" s="3" t="n">
        <v>239</v>
      </c>
      <c r="I141" s="3" t="n">
        <v>324</v>
      </c>
      <c r="J141" s="3">
        <f>MAX(I141-H141,0)</f>
        <v/>
      </c>
      <c r="K141" s="3" t="n">
        <v>17.6</v>
      </c>
      <c r="L141" s="3" t="n">
        <v>11500</v>
      </c>
      <c r="M141" s="3">
        <f>J141*K141*L141</f>
        <v/>
      </c>
      <c r="N141" s="3" t="n">
        <v>576000</v>
      </c>
      <c r="O141" s="3" t="n">
        <v>165000</v>
      </c>
      <c r="P141" s="3">
        <f>M141-N141-O141*J141/365</f>
        <v/>
      </c>
      <c r="Q141" s="3">
        <f>IFERROR(M141/(N141+O141*J141/365),0)</f>
        <v/>
      </c>
      <c r="R141" s="3">
        <f>IFERROR(N141/((M141/MAX(1,J141)*365)-O141)*12,0)</f>
        <v/>
      </c>
    </row>
    <row r="142">
      <c r="A142" s="3" t="inlineStr">
        <is>
          <t>EC-TRN-16-C1-C</t>
        </is>
      </c>
      <c r="B142" s="3" t="inlineStr">
        <is>
          <t>TRN-16</t>
        </is>
      </c>
      <c r="C142" s="3" t="inlineStr">
        <is>
          <t>Учебная скважина 16 · Луговое учебное / скв. 116 / Тульский горизонт</t>
        </is>
      </c>
      <c r="D142" s="4" t="n">
        <v>45480</v>
      </c>
      <c r="E142" s="3" t="n">
        <v>1</v>
      </c>
      <c r="F142" s="3" t="inlineStr">
        <is>
          <t>Комплексная защита</t>
        </is>
      </c>
      <c r="G142" s="3" t="inlineStr">
        <is>
          <t>Комплекс: Тепловой режим + ингибитор гидратов + мониторинг</t>
        </is>
      </c>
      <c r="H142" s="3" t="n">
        <v>239</v>
      </c>
      <c r="I142" s="3" t="n">
        <v>354</v>
      </c>
      <c r="J142" s="3">
        <f>MAX(I142-H142,0)</f>
        <v/>
      </c>
      <c r="K142" s="3" t="n">
        <v>17.6</v>
      </c>
      <c r="L142" s="3" t="n">
        <v>11500</v>
      </c>
      <c r="M142" s="3">
        <f>J142*K142*L142</f>
        <v/>
      </c>
      <c r="N142" s="3" t="n">
        <v>816000</v>
      </c>
      <c r="O142" s="3" t="n">
        <v>235000</v>
      </c>
      <c r="P142" s="3">
        <f>M142-N142-O142*J142/365</f>
        <v/>
      </c>
      <c r="Q142" s="3">
        <f>IFERROR(M142/(N142+O142*J142/365),0)</f>
        <v/>
      </c>
      <c r="R142" s="3">
        <f>IFERROR(N142/((M142/MAX(1,J142)*365)-O142)*12,0)</f>
        <v/>
      </c>
    </row>
    <row r="143">
      <c r="A143" s="3" t="inlineStr">
        <is>
          <t>EC-TRN-16-C2-A</t>
        </is>
      </c>
      <c r="B143" s="3" t="inlineStr">
        <is>
          <t>TRN-16</t>
        </is>
      </c>
      <c r="C143" s="3" t="inlineStr">
        <is>
          <t>Учебная скважина 16 · Луговое учебное / скв. 116 / Тульский горизонт</t>
        </is>
      </c>
      <c r="D143" s="4" t="n">
        <v>45707</v>
      </c>
      <c r="E143" s="3" t="n">
        <v>2</v>
      </c>
      <c r="F143" s="3" t="inlineStr">
        <is>
          <t>Повтор метода</t>
        </is>
      </c>
      <c r="G143" s="3" t="inlineStr">
        <is>
          <t>Повторная корректировка: Подбор растворителя и профилактики</t>
        </is>
      </c>
      <c r="H143" s="3" t="n">
        <v>221</v>
      </c>
      <c r="I143" s="3" t="n">
        <v>293</v>
      </c>
      <c r="J143" s="3">
        <f>MAX(I143-H143,0)</f>
        <v/>
      </c>
      <c r="K143" s="3" t="n">
        <v>17.6</v>
      </c>
      <c r="L143" s="3" t="n">
        <v>11500</v>
      </c>
      <c r="M143" s="3">
        <f>J143*K143*L143</f>
        <v/>
      </c>
      <c r="N143" s="3" t="n">
        <v>336000</v>
      </c>
      <c r="O143" s="3" t="n">
        <v>115000</v>
      </c>
      <c r="P143" s="3">
        <f>M143-N143-O143*J143/365</f>
        <v/>
      </c>
      <c r="Q143" s="3">
        <f>IFERROR(M143/(N143+O143*J143/365),0)</f>
        <v/>
      </c>
      <c r="R143" s="3">
        <f>IFERROR(N143/((M143/MAX(1,J143)*365)-O143)*12,0)</f>
        <v/>
      </c>
    </row>
    <row r="144">
      <c r="A144" s="3" t="inlineStr">
        <is>
          <t>EC-TRN-16-C2-B</t>
        </is>
      </c>
      <c r="B144" s="3" t="inlineStr">
        <is>
          <t>TRN-16</t>
        </is>
      </c>
      <c r="C144" s="3" t="inlineStr">
        <is>
          <t>Учебная скважина 16 · Луговое учебное / скв. 116 / Тульский горизонт</t>
        </is>
      </c>
      <c r="D144" s="4" t="n">
        <v>45707</v>
      </c>
      <c r="E144" s="3" t="n">
        <v>2</v>
      </c>
      <c r="F144" s="3" t="inlineStr">
        <is>
          <t>Новый подбор</t>
        </is>
      </c>
      <c r="G144" s="3" t="inlineStr">
        <is>
          <t>Повторная корректировка: Подбор растворителя и профилактики · лабораторная корректировка</t>
        </is>
      </c>
      <c r="H144" s="3" t="n">
        <v>221</v>
      </c>
      <c r="I144" s="3" t="n">
        <v>323</v>
      </c>
      <c r="J144" s="3">
        <f>MAX(I144-H144,0)</f>
        <v/>
      </c>
      <c r="K144" s="3" t="n">
        <v>17.6</v>
      </c>
      <c r="L144" s="3" t="n">
        <v>11500</v>
      </c>
      <c r="M144" s="3">
        <f>J144*K144*L144</f>
        <v/>
      </c>
      <c r="N144" s="3" t="n">
        <v>576000</v>
      </c>
      <c r="O144" s="3" t="n">
        <v>165000</v>
      </c>
      <c r="P144" s="3">
        <f>M144-N144-O144*J144/365</f>
        <v/>
      </c>
      <c r="Q144" s="3">
        <f>IFERROR(M144/(N144+O144*J144/365),0)</f>
        <v/>
      </c>
      <c r="R144" s="3">
        <f>IFERROR(N144/((M144/MAX(1,J144)*365)-O144)*12,0)</f>
        <v/>
      </c>
    </row>
    <row r="145">
      <c r="A145" s="3" t="inlineStr">
        <is>
          <t>EC-TRN-16-C2-C</t>
        </is>
      </c>
      <c r="B145" s="3" t="inlineStr">
        <is>
          <t>TRN-16</t>
        </is>
      </c>
      <c r="C145" s="3" t="inlineStr">
        <is>
          <t>Учебная скважина 16 · Луговое учебное / скв. 116 / Тульский горизонт</t>
        </is>
      </c>
      <c r="D145" s="4" t="n">
        <v>45707</v>
      </c>
      <c r="E145" s="3" t="n">
        <v>2</v>
      </c>
      <c r="F145" s="3" t="inlineStr">
        <is>
          <t>Комплексная защита</t>
        </is>
      </c>
      <c r="G145" s="3" t="inlineStr">
        <is>
          <t>Комплекс: Повторная корректировка: Подбор растворителя и профилактики + мониторинг</t>
        </is>
      </c>
      <c r="H145" s="3" t="n">
        <v>221</v>
      </c>
      <c r="I145" s="3" t="n">
        <v>353</v>
      </c>
      <c r="J145" s="3">
        <f>MAX(I145-H145,0)</f>
        <v/>
      </c>
      <c r="K145" s="3" t="n">
        <v>17.6</v>
      </c>
      <c r="L145" s="3" t="n">
        <v>11500</v>
      </c>
      <c r="M145" s="3">
        <f>J145*K145*L145</f>
        <v/>
      </c>
      <c r="N145" s="3" t="n">
        <v>816000</v>
      </c>
      <c r="O145" s="3" t="n">
        <v>235000</v>
      </c>
      <c r="P145" s="3">
        <f>M145-N145-O145*J145/365</f>
        <v/>
      </c>
      <c r="Q145" s="3">
        <f>IFERROR(M145/(N145+O145*J145/365),0)</f>
        <v/>
      </c>
      <c r="R145" s="3">
        <f>IFERROR(N145/((M145/MAX(1,J145)*365)-O145)*12,0)</f>
        <v/>
      </c>
    </row>
    <row r="146">
      <c r="A146" s="3" t="inlineStr">
        <is>
          <t>EC-TRN-16-C3-A</t>
        </is>
      </c>
      <c r="B146" s="3" t="inlineStr">
        <is>
          <t>TRN-16</t>
        </is>
      </c>
      <c r="C146" s="3" t="inlineStr">
        <is>
          <t>Учебная скважина 16 · Луговое учебное / скв. 116 / Тульский горизонт</t>
        </is>
      </c>
      <c r="D146" s="4" t="n">
        <v>46234</v>
      </c>
      <c r="E146" s="3" t="n">
        <v>3</v>
      </c>
      <c r="F146" s="3" t="inlineStr">
        <is>
          <t>Повтор метода</t>
        </is>
      </c>
      <c r="G146" s="3" t="inlineStr">
        <is>
          <t>Подбор деэмульгатора</t>
        </is>
      </c>
      <c r="H146" s="3" t="n">
        <v>520</v>
      </c>
      <c r="I146" s="3" t="n">
        <v>554</v>
      </c>
      <c r="J146" s="3">
        <f>MAX(I146-H146,0)</f>
        <v/>
      </c>
      <c r="K146" s="3" t="n">
        <v>17.6</v>
      </c>
      <c r="L146" s="3" t="n">
        <v>11500</v>
      </c>
      <c r="M146" s="3">
        <f>J146*K146*L146</f>
        <v/>
      </c>
      <c r="N146" s="3" t="n">
        <v>336000</v>
      </c>
      <c r="O146" s="3" t="n">
        <v>115000</v>
      </c>
      <c r="P146" s="3">
        <f>M146-N146-O146*J146/365</f>
        <v/>
      </c>
      <c r="Q146" s="3">
        <f>IFERROR(M146/(N146+O146*J146/365),0)</f>
        <v/>
      </c>
      <c r="R146" s="3">
        <f>IFERROR(N146/((M146/MAX(1,J146)*365)-O146)*12,0)</f>
        <v/>
      </c>
    </row>
    <row r="147">
      <c r="A147" s="3" t="inlineStr">
        <is>
          <t>EC-TRN-16-C3-B</t>
        </is>
      </c>
      <c r="B147" s="3" t="inlineStr">
        <is>
          <t>TRN-16</t>
        </is>
      </c>
      <c r="C147" s="3" t="inlineStr">
        <is>
          <t>Учебная скважина 16 · Луговое учебное / скв. 116 / Тульский горизонт</t>
        </is>
      </c>
      <c r="D147" s="4" t="n">
        <v>46234</v>
      </c>
      <c r="E147" s="3" t="n">
        <v>3</v>
      </c>
      <c r="F147" s="3" t="inlineStr">
        <is>
          <t>Новый подбор</t>
        </is>
      </c>
      <c r="G147" s="3" t="inlineStr">
        <is>
          <t>Подбор деэмульгатора · лабораторная корректировка</t>
        </is>
      </c>
      <c r="H147" s="3" t="n">
        <v>520</v>
      </c>
      <c r="I147" s="3" t="n">
        <v>584</v>
      </c>
      <c r="J147" s="3">
        <f>MAX(I147-H147,0)</f>
        <v/>
      </c>
      <c r="K147" s="3" t="n">
        <v>17.6</v>
      </c>
      <c r="L147" s="3" t="n">
        <v>11500</v>
      </c>
      <c r="M147" s="3">
        <f>J147*K147*L147</f>
        <v/>
      </c>
      <c r="N147" s="3" t="n">
        <v>576000</v>
      </c>
      <c r="O147" s="3" t="n">
        <v>165000</v>
      </c>
      <c r="P147" s="3">
        <f>M147-N147-O147*J147/365</f>
        <v/>
      </c>
      <c r="Q147" s="3">
        <f>IFERROR(M147/(N147+O147*J147/365),0)</f>
        <v/>
      </c>
      <c r="R147" s="3">
        <f>IFERROR(N147/((M147/MAX(1,J147)*365)-O147)*12,0)</f>
        <v/>
      </c>
    </row>
    <row r="148">
      <c r="A148" s="3" t="inlineStr">
        <is>
          <t>EC-TRN-16-C3-C</t>
        </is>
      </c>
      <c r="B148" s="3" t="inlineStr">
        <is>
          <t>TRN-16</t>
        </is>
      </c>
      <c r="C148" s="3" t="inlineStr">
        <is>
          <t>Учебная скважина 16 · Луговое учебное / скв. 116 / Тульский горизонт</t>
        </is>
      </c>
      <c r="D148" s="4" t="n">
        <v>46234</v>
      </c>
      <c r="E148" s="3" t="n">
        <v>3</v>
      </c>
      <c r="F148" s="3" t="inlineStr">
        <is>
          <t>Комплексная защита</t>
        </is>
      </c>
      <c r="G148" s="3" t="inlineStr">
        <is>
          <t>Комплекс: Подбор деэмульгатора + мониторинг</t>
        </is>
      </c>
      <c r="H148" s="3" t="n">
        <v>520</v>
      </c>
      <c r="I148" s="3" t="n">
        <v>614</v>
      </c>
      <c r="J148" s="3">
        <f>MAX(I148-H148,0)</f>
        <v/>
      </c>
      <c r="K148" s="3" t="n">
        <v>17.6</v>
      </c>
      <c r="L148" s="3" t="n">
        <v>11500</v>
      </c>
      <c r="M148" s="3">
        <f>J148*K148*L148</f>
        <v/>
      </c>
      <c r="N148" s="3" t="n">
        <v>816000</v>
      </c>
      <c r="O148" s="3" t="n">
        <v>235000</v>
      </c>
      <c r="P148" s="3">
        <f>M148-N148-O148*J148/365</f>
        <v/>
      </c>
      <c r="Q148" s="3">
        <f>IFERROR(M148/(N148+O148*J148/365),0)</f>
        <v/>
      </c>
      <c r="R148" s="3">
        <f>IFERROR(N148/((M148/MAX(1,J148)*365)-O148)*12,0)</f>
        <v/>
      </c>
    </row>
    <row r="149">
      <c r="A149" s="3" t="inlineStr">
        <is>
          <t>EC-TRN-17-C1-A</t>
        </is>
      </c>
      <c r="B149" s="3" t="inlineStr">
        <is>
          <t>TRN-17</t>
        </is>
      </c>
      <c r="C149" s="3" t="inlineStr">
        <is>
          <t>Учебная скважина 17 · Берёзовское учебное / скв. 117 / Бобриковский горизонт</t>
        </is>
      </c>
      <c r="D149" s="4" t="n">
        <v>45580</v>
      </c>
      <c r="E149" s="3" t="n">
        <v>1</v>
      </c>
      <c r="F149" s="3" t="inlineStr">
        <is>
          <t>Повтор метода</t>
        </is>
      </c>
      <c r="G149" s="3" t="inlineStr">
        <is>
          <t>Повторная корректировка: Ингибитор коррозии + контроль остатка</t>
        </is>
      </c>
      <c r="H149" s="3" t="n">
        <v>337</v>
      </c>
      <c r="I149" s="3" t="n">
        <v>405</v>
      </c>
      <c r="J149" s="3">
        <f>MAX(I149-H149,0)</f>
        <v/>
      </c>
      <c r="K149" s="3" t="n">
        <v>74.7</v>
      </c>
      <c r="L149" s="3" t="n">
        <v>12800</v>
      </c>
      <c r="M149" s="3">
        <f>J149*K149*L149</f>
        <v/>
      </c>
      <c r="N149" s="3" t="n">
        <v>339500</v>
      </c>
      <c r="O149" s="3" t="n">
        <v>115000</v>
      </c>
      <c r="P149" s="3">
        <f>M149-N149-O149*J149/365</f>
        <v/>
      </c>
      <c r="Q149" s="3">
        <f>IFERROR(M149/(N149+O149*J149/365),0)</f>
        <v/>
      </c>
      <c r="R149" s="3">
        <f>IFERROR(N149/((M149/MAX(1,J149)*365)-O149)*12,0)</f>
        <v/>
      </c>
    </row>
    <row r="150">
      <c r="A150" s="3" t="inlineStr">
        <is>
          <t>EC-TRN-17-C1-B</t>
        </is>
      </c>
      <c r="B150" s="3" t="inlineStr">
        <is>
          <t>TRN-17</t>
        </is>
      </c>
      <c r="C150" s="3" t="inlineStr">
        <is>
          <t>Учебная скважина 17 · Берёзовское учебное / скв. 117 / Бобриковский горизонт</t>
        </is>
      </c>
      <c r="D150" s="4" t="n">
        <v>45580</v>
      </c>
      <c r="E150" s="3" t="n">
        <v>1</v>
      </c>
      <c r="F150" s="3" t="inlineStr">
        <is>
          <t>Новый подбор</t>
        </is>
      </c>
      <c r="G150" s="3" t="inlineStr">
        <is>
          <t>Повторная корректировка: Ингибитор коррозии + контроль остатка · лабораторная корректировка</t>
        </is>
      </c>
      <c r="H150" s="3" t="n">
        <v>337</v>
      </c>
      <c r="I150" s="3" t="n">
        <v>435</v>
      </c>
      <c r="J150" s="3">
        <f>MAX(I150-H150,0)</f>
        <v/>
      </c>
      <c r="K150" s="3" t="n">
        <v>74.7</v>
      </c>
      <c r="L150" s="3" t="n">
        <v>12800</v>
      </c>
      <c r="M150" s="3">
        <f>J150*K150*L150</f>
        <v/>
      </c>
      <c r="N150" s="3" t="n">
        <v>579500</v>
      </c>
      <c r="O150" s="3" t="n">
        <v>165000</v>
      </c>
      <c r="P150" s="3">
        <f>M150-N150-O150*J150/365</f>
        <v/>
      </c>
      <c r="Q150" s="3">
        <f>IFERROR(M150/(N150+O150*J150/365),0)</f>
        <v/>
      </c>
      <c r="R150" s="3">
        <f>IFERROR(N150/((M150/MAX(1,J150)*365)-O150)*12,0)</f>
        <v/>
      </c>
    </row>
    <row r="151">
      <c r="A151" s="3" t="inlineStr">
        <is>
          <t>EC-TRN-17-C1-C</t>
        </is>
      </c>
      <c r="B151" s="3" t="inlineStr">
        <is>
          <t>TRN-17</t>
        </is>
      </c>
      <c r="C151" s="3" t="inlineStr">
        <is>
          <t>Учебная скважина 17 · Берёзовское учебное / скв. 117 / Бобриковский горизонт</t>
        </is>
      </c>
      <c r="D151" s="4" t="n">
        <v>45580</v>
      </c>
      <c r="E151" s="3" t="n">
        <v>1</v>
      </c>
      <c r="F151" s="3" t="inlineStr">
        <is>
          <t>Комплексная защита</t>
        </is>
      </c>
      <c r="G151" s="3" t="inlineStr">
        <is>
          <t>Комплекс: Повторная корректировка: Ингибитор коррозии + контроль остатка + мониторинг</t>
        </is>
      </c>
      <c r="H151" s="3" t="n">
        <v>337</v>
      </c>
      <c r="I151" s="3" t="n">
        <v>465</v>
      </c>
      <c r="J151" s="3">
        <f>MAX(I151-H151,0)</f>
        <v/>
      </c>
      <c r="K151" s="3" t="n">
        <v>74.7</v>
      </c>
      <c r="L151" s="3" t="n">
        <v>12800</v>
      </c>
      <c r="M151" s="3">
        <f>J151*K151*L151</f>
        <v/>
      </c>
      <c r="N151" s="3" t="n">
        <v>819500</v>
      </c>
      <c r="O151" s="3" t="n">
        <v>235000</v>
      </c>
      <c r="P151" s="3">
        <f>M151-N151-O151*J151/365</f>
        <v/>
      </c>
      <c r="Q151" s="3">
        <f>IFERROR(M151/(N151+O151*J151/365),0)</f>
        <v/>
      </c>
      <c r="R151" s="3">
        <f>IFERROR(N151/((M151/MAX(1,J151)*365)-O151)*12,0)</f>
        <v/>
      </c>
    </row>
    <row r="152">
      <c r="A152" s="3" t="inlineStr">
        <is>
          <t>EC-TRN-17-C2-A</t>
        </is>
      </c>
      <c r="B152" s="3" t="inlineStr">
        <is>
          <t>TRN-17</t>
        </is>
      </c>
      <c r="C152" s="3" t="inlineStr">
        <is>
          <t>Учебная скважина 17 · Берёзовское учебное / скв. 117 / Бобриковский горизонт</t>
        </is>
      </c>
      <c r="D152" s="4" t="n">
        <v>45804</v>
      </c>
      <c r="E152" s="3" t="n">
        <v>2</v>
      </c>
      <c r="F152" s="3" t="inlineStr">
        <is>
          <t>Повтор метода</t>
        </is>
      </c>
      <c r="G152" s="3" t="inlineStr">
        <is>
          <t>Подбор газосепаратора</t>
        </is>
      </c>
      <c r="H152" s="3" t="n">
        <v>217</v>
      </c>
      <c r="I152" s="3" t="n">
        <v>247</v>
      </c>
      <c r="J152" s="3">
        <f>MAX(I152-H152,0)</f>
        <v/>
      </c>
      <c r="K152" s="3" t="n">
        <v>74.7</v>
      </c>
      <c r="L152" s="3" t="n">
        <v>12800</v>
      </c>
      <c r="M152" s="3">
        <f>J152*K152*L152</f>
        <v/>
      </c>
      <c r="N152" s="3" t="n">
        <v>339500</v>
      </c>
      <c r="O152" s="3" t="n">
        <v>115000</v>
      </c>
      <c r="P152" s="3">
        <f>M152-N152-O152*J152/365</f>
        <v/>
      </c>
      <c r="Q152" s="3">
        <f>IFERROR(M152/(N152+O152*J152/365),0)</f>
        <v/>
      </c>
      <c r="R152" s="3">
        <f>IFERROR(N152/((M152/MAX(1,J152)*365)-O152)*12,0)</f>
        <v/>
      </c>
    </row>
    <row r="153">
      <c r="A153" s="3" t="inlineStr">
        <is>
          <t>EC-TRN-17-C2-B</t>
        </is>
      </c>
      <c r="B153" s="3" t="inlineStr">
        <is>
          <t>TRN-17</t>
        </is>
      </c>
      <c r="C153" s="3" t="inlineStr">
        <is>
          <t>Учебная скважина 17 · Берёзовское учебное / скв. 117 / Бобриковский горизонт</t>
        </is>
      </c>
      <c r="D153" s="4" t="n">
        <v>45804</v>
      </c>
      <c r="E153" s="3" t="n">
        <v>2</v>
      </c>
      <c r="F153" s="3" t="inlineStr">
        <is>
          <t>Новый подбор</t>
        </is>
      </c>
      <c r="G153" s="3" t="inlineStr">
        <is>
          <t>Подбор газосепаратора · лабораторная корректировка</t>
        </is>
      </c>
      <c r="H153" s="3" t="n">
        <v>217</v>
      </c>
      <c r="I153" s="3" t="n">
        <v>277</v>
      </c>
      <c r="J153" s="3">
        <f>MAX(I153-H153,0)</f>
        <v/>
      </c>
      <c r="K153" s="3" t="n">
        <v>74.7</v>
      </c>
      <c r="L153" s="3" t="n">
        <v>12800</v>
      </c>
      <c r="M153" s="3">
        <f>J153*K153*L153</f>
        <v/>
      </c>
      <c r="N153" s="3" t="n">
        <v>579500</v>
      </c>
      <c r="O153" s="3" t="n">
        <v>165000</v>
      </c>
      <c r="P153" s="3">
        <f>M153-N153-O153*J153/365</f>
        <v/>
      </c>
      <c r="Q153" s="3">
        <f>IFERROR(M153/(N153+O153*J153/365),0)</f>
        <v/>
      </c>
      <c r="R153" s="3">
        <f>IFERROR(N153/((M153/MAX(1,J153)*365)-O153)*12,0)</f>
        <v/>
      </c>
    </row>
    <row r="154">
      <c r="A154" s="3" t="inlineStr">
        <is>
          <t>EC-TRN-17-C2-C</t>
        </is>
      </c>
      <c r="B154" s="3" t="inlineStr">
        <is>
          <t>TRN-17</t>
        </is>
      </c>
      <c r="C154" s="3" t="inlineStr">
        <is>
          <t>Учебная скважина 17 · Берёзовское учебное / скв. 117 / Бобриковский горизонт</t>
        </is>
      </c>
      <c r="D154" s="4" t="n">
        <v>45804</v>
      </c>
      <c r="E154" s="3" t="n">
        <v>2</v>
      </c>
      <c r="F154" s="3" t="inlineStr">
        <is>
          <t>Комплексная защита</t>
        </is>
      </c>
      <c r="G154" s="3" t="inlineStr">
        <is>
          <t>Комплекс: Подбор газосепаратора + мониторинг</t>
        </is>
      </c>
      <c r="H154" s="3" t="n">
        <v>217</v>
      </c>
      <c r="I154" s="3" t="n">
        <v>307</v>
      </c>
      <c r="J154" s="3">
        <f>MAX(I154-H154,0)</f>
        <v/>
      </c>
      <c r="K154" s="3" t="n">
        <v>74.7</v>
      </c>
      <c r="L154" s="3" t="n">
        <v>12800</v>
      </c>
      <c r="M154" s="3">
        <f>J154*K154*L154</f>
        <v/>
      </c>
      <c r="N154" s="3" t="n">
        <v>819500</v>
      </c>
      <c r="O154" s="3" t="n">
        <v>235000</v>
      </c>
      <c r="P154" s="3">
        <f>M154-N154-O154*J154/365</f>
        <v/>
      </c>
      <c r="Q154" s="3">
        <f>IFERROR(M154/(N154+O154*J154/365),0)</f>
        <v/>
      </c>
      <c r="R154" s="3">
        <f>IFERROR(N154/((M154/MAX(1,J154)*365)-O154)*12,0)</f>
        <v/>
      </c>
    </row>
    <row r="155">
      <c r="A155" s="3" t="inlineStr">
        <is>
          <t>EC-TRN-17-C3-A</t>
        </is>
      </c>
      <c r="B155" s="3" t="inlineStr">
        <is>
          <t>TRN-17</t>
        </is>
      </c>
      <c r="C155" s="3" t="inlineStr">
        <is>
          <t>Учебная скважина 17 · Берёзовское учебное / скв. 117 / Бобриковский горизонт</t>
        </is>
      </c>
      <c r="D155" s="4" t="n">
        <v>46303</v>
      </c>
      <c r="E155" s="3" t="n">
        <v>3</v>
      </c>
      <c r="F155" s="3" t="inlineStr">
        <is>
          <t>Повтор метода</t>
        </is>
      </c>
      <c r="G155" s="3" t="inlineStr">
        <is>
          <t>Повторная корректировка: Тепловой режим + ингибитор гидратов</t>
        </is>
      </c>
      <c r="H155" s="3" t="n">
        <v>496</v>
      </c>
      <c r="I155" s="3" t="n">
        <v>543</v>
      </c>
      <c r="J155" s="3">
        <f>MAX(I155-H155,0)</f>
        <v/>
      </c>
      <c r="K155" s="3" t="n">
        <v>74.7</v>
      </c>
      <c r="L155" s="3" t="n">
        <v>12800</v>
      </c>
      <c r="M155" s="3">
        <f>J155*K155*L155</f>
        <v/>
      </c>
      <c r="N155" s="3" t="n">
        <v>339500</v>
      </c>
      <c r="O155" s="3" t="n">
        <v>115000</v>
      </c>
      <c r="P155" s="3">
        <f>M155-N155-O155*J155/365</f>
        <v/>
      </c>
      <c r="Q155" s="3">
        <f>IFERROR(M155/(N155+O155*J155/365),0)</f>
        <v/>
      </c>
      <c r="R155" s="3">
        <f>IFERROR(N155/((M155/MAX(1,J155)*365)-O155)*12,0)</f>
        <v/>
      </c>
    </row>
    <row r="156">
      <c r="A156" s="3" t="inlineStr">
        <is>
          <t>EC-TRN-17-C3-B</t>
        </is>
      </c>
      <c r="B156" s="3" t="inlineStr">
        <is>
          <t>TRN-17</t>
        </is>
      </c>
      <c r="C156" s="3" t="inlineStr">
        <is>
          <t>Учебная скважина 17 · Берёзовское учебное / скв. 117 / Бобриковский горизонт</t>
        </is>
      </c>
      <c r="D156" s="4" t="n">
        <v>46303</v>
      </c>
      <c r="E156" s="3" t="n">
        <v>3</v>
      </c>
      <c r="F156" s="3" t="inlineStr">
        <is>
          <t>Новый подбор</t>
        </is>
      </c>
      <c r="G156" s="3" t="inlineStr">
        <is>
          <t>Повторная корректировка: Тепловой режим + ингибитор гидратов · лабораторная корректировка</t>
        </is>
      </c>
      <c r="H156" s="3" t="n">
        <v>496</v>
      </c>
      <c r="I156" s="3" t="n">
        <v>573</v>
      </c>
      <c r="J156" s="3">
        <f>MAX(I156-H156,0)</f>
        <v/>
      </c>
      <c r="K156" s="3" t="n">
        <v>74.7</v>
      </c>
      <c r="L156" s="3" t="n">
        <v>12800</v>
      </c>
      <c r="M156" s="3">
        <f>J156*K156*L156</f>
        <v/>
      </c>
      <c r="N156" s="3" t="n">
        <v>579500</v>
      </c>
      <c r="O156" s="3" t="n">
        <v>165000</v>
      </c>
      <c r="P156" s="3">
        <f>M156-N156-O156*J156/365</f>
        <v/>
      </c>
      <c r="Q156" s="3">
        <f>IFERROR(M156/(N156+O156*J156/365),0)</f>
        <v/>
      </c>
      <c r="R156" s="3">
        <f>IFERROR(N156/((M156/MAX(1,J156)*365)-O156)*12,0)</f>
        <v/>
      </c>
    </row>
    <row r="157">
      <c r="A157" s="3" t="inlineStr">
        <is>
          <t>EC-TRN-17-C3-C</t>
        </is>
      </c>
      <c r="B157" s="3" t="inlineStr">
        <is>
          <t>TRN-17</t>
        </is>
      </c>
      <c r="C157" s="3" t="inlineStr">
        <is>
          <t>Учебная скважина 17 · Берёзовское учебное / скв. 117 / Бобриковский горизонт</t>
        </is>
      </c>
      <c r="D157" s="4" t="n">
        <v>46303</v>
      </c>
      <c r="E157" s="3" t="n">
        <v>3</v>
      </c>
      <c r="F157" s="3" t="inlineStr">
        <is>
          <t>Комплексная защита</t>
        </is>
      </c>
      <c r="G157" s="3" t="inlineStr">
        <is>
          <t>Комплекс: Повторная корректировка: Тепловой режим + ингибитор гидратов + мониторинг</t>
        </is>
      </c>
      <c r="H157" s="3" t="n">
        <v>496</v>
      </c>
      <c r="I157" s="3" t="n">
        <v>603</v>
      </c>
      <c r="J157" s="3">
        <f>MAX(I157-H157,0)</f>
        <v/>
      </c>
      <c r="K157" s="3" t="n">
        <v>74.7</v>
      </c>
      <c r="L157" s="3" t="n">
        <v>12800</v>
      </c>
      <c r="M157" s="3">
        <f>J157*K157*L157</f>
        <v/>
      </c>
      <c r="N157" s="3" t="n">
        <v>819500</v>
      </c>
      <c r="O157" s="3" t="n">
        <v>235000</v>
      </c>
      <c r="P157" s="3">
        <f>M157-N157-O157*J157/365</f>
        <v/>
      </c>
      <c r="Q157" s="3">
        <f>IFERROR(M157/(N157+O157*J157/365),0)</f>
        <v/>
      </c>
      <c r="R157" s="3">
        <f>IFERROR(N157/((M157/MAX(1,J157)*365)-O157)*12,0)</f>
        <v/>
      </c>
    </row>
    <row r="158">
      <c r="A158" s="3" t="inlineStr">
        <is>
          <t>EC-TRN-18-C1-A</t>
        </is>
      </c>
      <c r="B158" s="3" t="inlineStr">
        <is>
          <t>TRN-18</t>
        </is>
      </c>
      <c r="C158" s="3" t="inlineStr">
        <is>
          <t>Учебная скважина 18 · Уральское учебное / скв. 118 / Песчаный горизонт</t>
        </is>
      </c>
      <c r="D158" s="4" t="n">
        <v>45374</v>
      </c>
      <c r="E158" s="3" t="n">
        <v>1</v>
      </c>
      <c r="F158" s="3" t="inlineStr">
        <is>
          <t>Повтор метода</t>
        </is>
      </c>
      <c r="G158" s="3" t="inlineStr">
        <is>
          <t>Фильтрация и контроль фракций</t>
        </is>
      </c>
      <c r="H158" s="3" t="n">
        <v>129</v>
      </c>
      <c r="I158" s="3" t="n">
        <v>155</v>
      </c>
      <c r="J158" s="3">
        <f>MAX(I158-H158,0)</f>
        <v/>
      </c>
      <c r="K158" s="3" t="n">
        <v>29.6</v>
      </c>
      <c r="L158" s="3" t="n">
        <v>10400</v>
      </c>
      <c r="M158" s="3">
        <f>J158*K158*L158</f>
        <v/>
      </c>
      <c r="N158" s="3" t="n">
        <v>343000</v>
      </c>
      <c r="O158" s="3" t="n">
        <v>115000</v>
      </c>
      <c r="P158" s="3">
        <f>M158-N158-O158*J158/365</f>
        <v/>
      </c>
      <c r="Q158" s="3">
        <f>IFERROR(M158/(N158+O158*J158/365),0)</f>
        <v/>
      </c>
      <c r="R158" s="3">
        <f>IFERROR(N158/((M158/MAX(1,J158)*365)-O158)*12,0)</f>
        <v/>
      </c>
    </row>
    <row r="159">
      <c r="A159" s="3" t="inlineStr">
        <is>
          <t>EC-TRN-18-C1-B</t>
        </is>
      </c>
      <c r="B159" s="3" t="inlineStr">
        <is>
          <t>TRN-18</t>
        </is>
      </c>
      <c r="C159" s="3" t="inlineStr">
        <is>
          <t>Учебная скважина 18 · Уральское учебное / скв. 118 / Песчаный горизонт</t>
        </is>
      </c>
      <c r="D159" s="4" t="n">
        <v>45374</v>
      </c>
      <c r="E159" s="3" t="n">
        <v>1</v>
      </c>
      <c r="F159" s="3" t="inlineStr">
        <is>
          <t>Новый подбор</t>
        </is>
      </c>
      <c r="G159" s="3" t="inlineStr">
        <is>
          <t>Фильтрация и контроль фракций · лабораторная корректировка</t>
        </is>
      </c>
      <c r="H159" s="3" t="n">
        <v>129</v>
      </c>
      <c r="I159" s="3" t="n">
        <v>185</v>
      </c>
      <c r="J159" s="3">
        <f>MAX(I159-H159,0)</f>
        <v/>
      </c>
      <c r="K159" s="3" t="n">
        <v>29.6</v>
      </c>
      <c r="L159" s="3" t="n">
        <v>10400</v>
      </c>
      <c r="M159" s="3">
        <f>J159*K159*L159</f>
        <v/>
      </c>
      <c r="N159" s="3" t="n">
        <v>583000</v>
      </c>
      <c r="O159" s="3" t="n">
        <v>165000</v>
      </c>
      <c r="P159" s="3">
        <f>M159-N159-O159*J159/365</f>
        <v/>
      </c>
      <c r="Q159" s="3">
        <f>IFERROR(M159/(N159+O159*J159/365),0)</f>
        <v/>
      </c>
      <c r="R159" s="3">
        <f>IFERROR(N159/((M159/MAX(1,J159)*365)-O159)*12,0)</f>
        <v/>
      </c>
    </row>
    <row r="160">
      <c r="A160" s="3" t="inlineStr">
        <is>
          <t>EC-TRN-18-C1-C</t>
        </is>
      </c>
      <c r="B160" s="3" t="inlineStr">
        <is>
          <t>TRN-18</t>
        </is>
      </c>
      <c r="C160" s="3" t="inlineStr">
        <is>
          <t>Учебная скважина 18 · Уральское учебное / скв. 118 / Песчаный горизонт</t>
        </is>
      </c>
      <c r="D160" s="4" t="n">
        <v>45374</v>
      </c>
      <c r="E160" s="3" t="n">
        <v>1</v>
      </c>
      <c r="F160" s="3" t="inlineStr">
        <is>
          <t>Комплексная защита</t>
        </is>
      </c>
      <c r="G160" s="3" t="inlineStr">
        <is>
          <t>Комплекс: Фильтрация и контроль фракций + мониторинг</t>
        </is>
      </c>
      <c r="H160" s="3" t="n">
        <v>129</v>
      </c>
      <c r="I160" s="3" t="n">
        <v>215</v>
      </c>
      <c r="J160" s="3">
        <f>MAX(I160-H160,0)</f>
        <v/>
      </c>
      <c r="K160" s="3" t="n">
        <v>29.6</v>
      </c>
      <c r="L160" s="3" t="n">
        <v>10400</v>
      </c>
      <c r="M160" s="3">
        <f>J160*K160*L160</f>
        <v/>
      </c>
      <c r="N160" s="3" t="n">
        <v>823000</v>
      </c>
      <c r="O160" s="3" t="n">
        <v>235000</v>
      </c>
      <c r="P160" s="3">
        <f>M160-N160-O160*J160/365</f>
        <v/>
      </c>
      <c r="Q160" s="3">
        <f>IFERROR(M160/(N160+O160*J160/365),0)</f>
        <v/>
      </c>
      <c r="R160" s="3">
        <f>IFERROR(N160/((M160/MAX(1,J160)*365)-O160)*12,0)</f>
        <v/>
      </c>
    </row>
    <row r="161">
      <c r="A161" s="3" t="inlineStr">
        <is>
          <t>EC-TRN-18-C2-A</t>
        </is>
      </c>
      <c r="B161" s="3" t="inlineStr">
        <is>
          <t>TRN-18</t>
        </is>
      </c>
      <c r="C161" s="3" t="inlineStr">
        <is>
          <t>Учебная скважина 18 · Уральское учебное / скв. 118 / Песчаный горизонт</t>
        </is>
      </c>
      <c r="D161" s="4" t="n">
        <v>45878</v>
      </c>
      <c r="E161" s="3" t="n">
        <v>2</v>
      </c>
      <c r="F161" s="3" t="inlineStr">
        <is>
          <t>Повтор метода</t>
        </is>
      </c>
      <c r="G161" s="3" t="inlineStr">
        <is>
          <t>Биоцидная обработка + контроль</t>
        </is>
      </c>
      <c r="H161" s="3" t="n">
        <v>496</v>
      </c>
      <c r="I161" s="3" t="n">
        <v>539</v>
      </c>
      <c r="J161" s="3">
        <f>MAX(I161-H161,0)</f>
        <v/>
      </c>
      <c r="K161" s="3" t="n">
        <v>29.6</v>
      </c>
      <c r="L161" s="3" t="n">
        <v>10400</v>
      </c>
      <c r="M161" s="3">
        <f>J161*K161*L161</f>
        <v/>
      </c>
      <c r="N161" s="3" t="n">
        <v>343000</v>
      </c>
      <c r="O161" s="3" t="n">
        <v>115000</v>
      </c>
      <c r="P161" s="3">
        <f>M161-N161-O161*J161/365</f>
        <v/>
      </c>
      <c r="Q161" s="3">
        <f>IFERROR(M161/(N161+O161*J161/365),0)</f>
        <v/>
      </c>
      <c r="R161" s="3">
        <f>IFERROR(N161/((M161/MAX(1,J161)*365)-O161)*12,0)</f>
        <v/>
      </c>
    </row>
    <row r="162">
      <c r="A162" s="3" t="inlineStr">
        <is>
          <t>EC-TRN-18-C2-B</t>
        </is>
      </c>
      <c r="B162" s="3" t="inlineStr">
        <is>
          <t>TRN-18</t>
        </is>
      </c>
      <c r="C162" s="3" t="inlineStr">
        <is>
          <t>Учебная скважина 18 · Уральское учебное / скв. 118 / Песчаный горизонт</t>
        </is>
      </c>
      <c r="D162" s="4" t="n">
        <v>45878</v>
      </c>
      <c r="E162" s="3" t="n">
        <v>2</v>
      </c>
      <c r="F162" s="3" t="inlineStr">
        <is>
          <t>Новый подбор</t>
        </is>
      </c>
      <c r="G162" s="3" t="inlineStr">
        <is>
          <t>Биоцидная обработка + контроль · лабораторная корректировка</t>
        </is>
      </c>
      <c r="H162" s="3" t="n">
        <v>496</v>
      </c>
      <c r="I162" s="3" t="n">
        <v>569</v>
      </c>
      <c r="J162" s="3">
        <f>MAX(I162-H162,0)</f>
        <v/>
      </c>
      <c r="K162" s="3" t="n">
        <v>29.6</v>
      </c>
      <c r="L162" s="3" t="n">
        <v>10400</v>
      </c>
      <c r="M162" s="3">
        <f>J162*K162*L162</f>
        <v/>
      </c>
      <c r="N162" s="3" t="n">
        <v>583000</v>
      </c>
      <c r="O162" s="3" t="n">
        <v>165000</v>
      </c>
      <c r="P162" s="3">
        <f>M162-N162-O162*J162/365</f>
        <v/>
      </c>
      <c r="Q162" s="3">
        <f>IFERROR(M162/(N162+O162*J162/365),0)</f>
        <v/>
      </c>
      <c r="R162" s="3">
        <f>IFERROR(N162/((M162/MAX(1,J162)*365)-O162)*12,0)</f>
        <v/>
      </c>
    </row>
    <row r="163">
      <c r="A163" s="3" t="inlineStr">
        <is>
          <t>EC-TRN-18-C2-C</t>
        </is>
      </c>
      <c r="B163" s="3" t="inlineStr">
        <is>
          <t>TRN-18</t>
        </is>
      </c>
      <c r="C163" s="3" t="inlineStr">
        <is>
          <t>Учебная скважина 18 · Уральское учебное / скв. 118 / Песчаный горизонт</t>
        </is>
      </c>
      <c r="D163" s="4" t="n">
        <v>45878</v>
      </c>
      <c r="E163" s="3" t="n">
        <v>2</v>
      </c>
      <c r="F163" s="3" t="inlineStr">
        <is>
          <t>Комплексная защита</t>
        </is>
      </c>
      <c r="G163" s="3" t="inlineStr">
        <is>
          <t>Комплекс: Биоцидная обработка + контроль + мониторинг</t>
        </is>
      </c>
      <c r="H163" s="3" t="n">
        <v>496</v>
      </c>
      <c r="I163" s="3" t="n">
        <v>599</v>
      </c>
      <c r="J163" s="3">
        <f>MAX(I163-H163,0)</f>
        <v/>
      </c>
      <c r="K163" s="3" t="n">
        <v>29.6</v>
      </c>
      <c r="L163" s="3" t="n">
        <v>10400</v>
      </c>
      <c r="M163" s="3">
        <f>J163*K163*L163</f>
        <v/>
      </c>
      <c r="N163" s="3" t="n">
        <v>823000</v>
      </c>
      <c r="O163" s="3" t="n">
        <v>235000</v>
      </c>
      <c r="P163" s="3">
        <f>M163-N163-O163*J163/365</f>
        <v/>
      </c>
      <c r="Q163" s="3">
        <f>IFERROR(M163/(N163+O163*J163/365),0)</f>
        <v/>
      </c>
      <c r="R163" s="3">
        <f>IFERROR(N163/((M163/MAX(1,J163)*365)-O163)*12,0)</f>
        <v/>
      </c>
    </row>
    <row r="164">
      <c r="A164" s="3" t="inlineStr">
        <is>
          <t>EC-TRN-18-C3-A</t>
        </is>
      </c>
      <c r="B164" s="3" t="inlineStr">
        <is>
          <t>TRN-18</t>
        </is>
      </c>
      <c r="C164" s="3" t="inlineStr">
        <is>
          <t>Учебная скважина 18 · Уральское учебное / скв. 118 / Песчаный горизонт</t>
        </is>
      </c>
      <c r="D164" s="4" t="n">
        <v>46102</v>
      </c>
      <c r="E164" s="3" t="n">
        <v>3</v>
      </c>
      <c r="F164" s="3" t="inlineStr">
        <is>
          <t>Повтор метода</t>
        </is>
      </c>
      <c r="G164" s="3" t="inlineStr">
        <is>
          <t>Ингибитор коррозии + контроль остатка</t>
        </is>
      </c>
      <c r="H164" s="3" t="n">
        <v>215</v>
      </c>
      <c r="I164" s="3" t="n">
        <v>275</v>
      </c>
      <c r="J164" s="3">
        <f>MAX(I164-H164,0)</f>
        <v/>
      </c>
      <c r="K164" s="3" t="n">
        <v>29.6</v>
      </c>
      <c r="L164" s="3" t="n">
        <v>10400</v>
      </c>
      <c r="M164" s="3">
        <f>J164*K164*L164</f>
        <v/>
      </c>
      <c r="N164" s="3" t="n">
        <v>343000</v>
      </c>
      <c r="O164" s="3" t="n">
        <v>115000</v>
      </c>
      <c r="P164" s="3">
        <f>M164-N164-O164*J164/365</f>
        <v/>
      </c>
      <c r="Q164" s="3">
        <f>IFERROR(M164/(N164+O164*J164/365),0)</f>
        <v/>
      </c>
      <c r="R164" s="3">
        <f>IFERROR(N164/((M164/MAX(1,J164)*365)-O164)*12,0)</f>
        <v/>
      </c>
    </row>
    <row r="165">
      <c r="A165" s="3" t="inlineStr">
        <is>
          <t>EC-TRN-18-C3-B</t>
        </is>
      </c>
      <c r="B165" s="3" t="inlineStr">
        <is>
          <t>TRN-18</t>
        </is>
      </c>
      <c r="C165" s="3" t="inlineStr">
        <is>
          <t>Учебная скважина 18 · Уральское учебное / скв. 118 / Песчаный горизонт</t>
        </is>
      </c>
      <c r="D165" s="4" t="n">
        <v>46102</v>
      </c>
      <c r="E165" s="3" t="n">
        <v>3</v>
      </c>
      <c r="F165" s="3" t="inlineStr">
        <is>
          <t>Новый подбор</t>
        </is>
      </c>
      <c r="G165" s="3" t="inlineStr">
        <is>
          <t>Ингибитор коррозии + контроль остатка · лабораторная корректировка</t>
        </is>
      </c>
      <c r="H165" s="3" t="n">
        <v>215</v>
      </c>
      <c r="I165" s="3" t="n">
        <v>305</v>
      </c>
      <c r="J165" s="3">
        <f>MAX(I165-H165,0)</f>
        <v/>
      </c>
      <c r="K165" s="3" t="n">
        <v>29.6</v>
      </c>
      <c r="L165" s="3" t="n">
        <v>10400</v>
      </c>
      <c r="M165" s="3">
        <f>J165*K165*L165</f>
        <v/>
      </c>
      <c r="N165" s="3" t="n">
        <v>583000</v>
      </c>
      <c r="O165" s="3" t="n">
        <v>165000</v>
      </c>
      <c r="P165" s="3">
        <f>M165-N165-O165*J165/365</f>
        <v/>
      </c>
      <c r="Q165" s="3">
        <f>IFERROR(M165/(N165+O165*J165/365),0)</f>
        <v/>
      </c>
      <c r="R165" s="3">
        <f>IFERROR(N165/((M165/MAX(1,J165)*365)-O165)*12,0)</f>
        <v/>
      </c>
    </row>
    <row r="166">
      <c r="A166" s="3" t="inlineStr">
        <is>
          <t>EC-TRN-18-C3-C</t>
        </is>
      </c>
      <c r="B166" s="3" t="inlineStr">
        <is>
          <t>TRN-18</t>
        </is>
      </c>
      <c r="C166" s="3" t="inlineStr">
        <is>
          <t>Учебная скважина 18 · Уральское учебное / скв. 118 / Песчаный горизонт</t>
        </is>
      </c>
      <c r="D166" s="4" t="n">
        <v>46102</v>
      </c>
      <c r="E166" s="3" t="n">
        <v>3</v>
      </c>
      <c r="F166" s="3" t="inlineStr">
        <is>
          <t>Комплексная защита</t>
        </is>
      </c>
      <c r="G166" s="3" t="inlineStr">
        <is>
          <t>Комплекс: Ингибитор коррозии + контроль остатка + мониторинг</t>
        </is>
      </c>
      <c r="H166" s="3" t="n">
        <v>215</v>
      </c>
      <c r="I166" s="3" t="n">
        <v>335</v>
      </c>
      <c r="J166" s="3">
        <f>MAX(I166-H166,0)</f>
        <v/>
      </c>
      <c r="K166" s="3" t="n">
        <v>29.6</v>
      </c>
      <c r="L166" s="3" t="n">
        <v>10400</v>
      </c>
      <c r="M166" s="3">
        <f>J166*K166*L166</f>
        <v/>
      </c>
      <c r="N166" s="3" t="n">
        <v>823000</v>
      </c>
      <c r="O166" s="3" t="n">
        <v>235000</v>
      </c>
      <c r="P166" s="3">
        <f>M166-N166-O166*J166/365</f>
        <v/>
      </c>
      <c r="Q166" s="3">
        <f>IFERROR(M166/(N166+O166*J166/365),0)</f>
        <v/>
      </c>
      <c r="R166" s="3">
        <f>IFERROR(N166/((M166/MAX(1,J166)*365)-O166)*12,0)</f>
        <v/>
      </c>
    </row>
    <row r="167">
      <c r="A167" s="3" t="inlineStr">
        <is>
          <t>EC-TRN-19-C1-A</t>
        </is>
      </c>
      <c r="B167" s="3" t="inlineStr">
        <is>
          <t>TRN-19</t>
        </is>
      </c>
      <c r="C167" s="3" t="inlineStr">
        <is>
          <t>Учебная скважина 19 · Верхнее учебное / скв. 119 / Батский III пласт</t>
        </is>
      </c>
      <c r="D167" s="4" t="n">
        <v>45474</v>
      </c>
      <c r="E167" s="3" t="n">
        <v>1</v>
      </c>
      <c r="F167" s="3" t="inlineStr">
        <is>
          <t>Повтор метода</t>
        </is>
      </c>
      <c r="G167" s="3" t="inlineStr">
        <is>
          <t>Подбор растворителя и профилактики</t>
        </is>
      </c>
      <c r="H167" s="3" t="n">
        <v>227</v>
      </c>
      <c r="I167" s="3" t="n">
        <v>266</v>
      </c>
      <c r="J167" s="3">
        <f>MAX(I167-H167,0)</f>
        <v/>
      </c>
      <c r="K167" s="3" t="n">
        <v>33.3</v>
      </c>
      <c r="L167" s="3" t="n">
        <v>12100</v>
      </c>
      <c r="M167" s="3">
        <f>J167*K167*L167</f>
        <v/>
      </c>
      <c r="N167" s="3" t="n">
        <v>346500</v>
      </c>
      <c r="O167" s="3" t="n">
        <v>115000</v>
      </c>
      <c r="P167" s="3">
        <f>M167-N167-O167*J167/365</f>
        <v/>
      </c>
      <c r="Q167" s="3">
        <f>IFERROR(M167/(N167+O167*J167/365),0)</f>
        <v/>
      </c>
      <c r="R167" s="3">
        <f>IFERROR(N167/((M167/MAX(1,J167)*365)-O167)*12,0)</f>
        <v/>
      </c>
    </row>
    <row r="168">
      <c r="A168" s="3" t="inlineStr">
        <is>
          <t>EC-TRN-19-C1-B</t>
        </is>
      </c>
      <c r="B168" s="3" t="inlineStr">
        <is>
          <t>TRN-19</t>
        </is>
      </c>
      <c r="C168" s="3" t="inlineStr">
        <is>
          <t>Учебная скважина 19 · Верхнее учебное / скв. 119 / Батский III пласт</t>
        </is>
      </c>
      <c r="D168" s="4" t="n">
        <v>45474</v>
      </c>
      <c r="E168" s="3" t="n">
        <v>1</v>
      </c>
      <c r="F168" s="3" t="inlineStr">
        <is>
          <t>Новый подбор</t>
        </is>
      </c>
      <c r="G168" s="3" t="inlineStr">
        <is>
          <t>Подбор растворителя и профилактики · лабораторная корректировка</t>
        </is>
      </c>
      <c r="H168" s="3" t="n">
        <v>227</v>
      </c>
      <c r="I168" s="3" t="n">
        <v>296</v>
      </c>
      <c r="J168" s="3">
        <f>MAX(I168-H168,0)</f>
        <v/>
      </c>
      <c r="K168" s="3" t="n">
        <v>33.3</v>
      </c>
      <c r="L168" s="3" t="n">
        <v>12100</v>
      </c>
      <c r="M168" s="3">
        <f>J168*K168*L168</f>
        <v/>
      </c>
      <c r="N168" s="3" t="n">
        <v>586500</v>
      </c>
      <c r="O168" s="3" t="n">
        <v>165000</v>
      </c>
      <c r="P168" s="3">
        <f>M168-N168-O168*J168/365</f>
        <v/>
      </c>
      <c r="Q168" s="3">
        <f>IFERROR(M168/(N168+O168*J168/365),0)</f>
        <v/>
      </c>
      <c r="R168" s="3">
        <f>IFERROR(N168/((M168/MAX(1,J168)*365)-O168)*12,0)</f>
        <v/>
      </c>
    </row>
    <row r="169">
      <c r="A169" s="3" t="inlineStr">
        <is>
          <t>EC-TRN-19-C1-C</t>
        </is>
      </c>
      <c r="B169" s="3" t="inlineStr">
        <is>
          <t>TRN-19</t>
        </is>
      </c>
      <c r="C169" s="3" t="inlineStr">
        <is>
          <t>Учебная скважина 19 · Верхнее учебное / скв. 119 / Батский III пласт</t>
        </is>
      </c>
      <c r="D169" s="4" t="n">
        <v>45474</v>
      </c>
      <c r="E169" s="3" t="n">
        <v>1</v>
      </c>
      <c r="F169" s="3" t="inlineStr">
        <is>
          <t>Комплексная защита</t>
        </is>
      </c>
      <c r="G169" s="3" t="inlineStr">
        <is>
          <t>Комплекс: Подбор растворителя и профилактики + мониторинг</t>
        </is>
      </c>
      <c r="H169" s="3" t="n">
        <v>227</v>
      </c>
      <c r="I169" s="3" t="n">
        <v>326</v>
      </c>
      <c r="J169" s="3">
        <f>MAX(I169-H169,0)</f>
        <v/>
      </c>
      <c r="K169" s="3" t="n">
        <v>33.3</v>
      </c>
      <c r="L169" s="3" t="n">
        <v>12100</v>
      </c>
      <c r="M169" s="3">
        <f>J169*K169*L169</f>
        <v/>
      </c>
      <c r="N169" s="3" t="n">
        <v>826500</v>
      </c>
      <c r="O169" s="3" t="n">
        <v>235000</v>
      </c>
      <c r="P169" s="3">
        <f>M169-N169-O169*J169/365</f>
        <v/>
      </c>
      <c r="Q169" s="3">
        <f>IFERROR(M169/(N169+O169*J169/365),0)</f>
        <v/>
      </c>
      <c r="R169" s="3">
        <f>IFERROR(N169/((M169/MAX(1,J169)*365)-O169)*12,0)</f>
        <v/>
      </c>
    </row>
    <row r="170">
      <c r="A170" s="3" t="inlineStr">
        <is>
          <t>EC-TRN-19-C2-A</t>
        </is>
      </c>
      <c r="B170" s="3" t="inlineStr">
        <is>
          <t>TRN-19</t>
        </is>
      </c>
      <c r="C170" s="3" t="inlineStr">
        <is>
          <t>Учебная скважина 19 · Верхнее учебное / скв. 119 / Батский III пласт</t>
        </is>
      </c>
      <c r="D170" s="4" t="n">
        <v>45978</v>
      </c>
      <c r="E170" s="3" t="n">
        <v>2</v>
      </c>
      <c r="F170" s="3" t="inlineStr">
        <is>
          <t>Повтор метода</t>
        </is>
      </c>
      <c r="G170" s="3" t="inlineStr">
        <is>
          <t>Подбор деэмульгатора</t>
        </is>
      </c>
      <c r="H170" s="3" t="n">
        <v>495</v>
      </c>
      <c r="I170" s="3" t="n">
        <v>551</v>
      </c>
      <c r="J170" s="3">
        <f>MAX(I170-H170,0)</f>
        <v/>
      </c>
      <c r="K170" s="3" t="n">
        <v>33.3</v>
      </c>
      <c r="L170" s="3" t="n">
        <v>12100</v>
      </c>
      <c r="M170" s="3">
        <f>J170*K170*L170</f>
        <v/>
      </c>
      <c r="N170" s="3" t="n">
        <v>346500</v>
      </c>
      <c r="O170" s="3" t="n">
        <v>115000</v>
      </c>
      <c r="P170" s="3">
        <f>M170-N170-O170*J170/365</f>
        <v/>
      </c>
      <c r="Q170" s="3">
        <f>IFERROR(M170/(N170+O170*J170/365),0)</f>
        <v/>
      </c>
      <c r="R170" s="3">
        <f>IFERROR(N170/((M170/MAX(1,J170)*365)-O170)*12,0)</f>
        <v/>
      </c>
    </row>
    <row r="171">
      <c r="A171" s="3" t="inlineStr">
        <is>
          <t>EC-TRN-19-C2-B</t>
        </is>
      </c>
      <c r="B171" s="3" t="inlineStr">
        <is>
          <t>TRN-19</t>
        </is>
      </c>
      <c r="C171" s="3" t="inlineStr">
        <is>
          <t>Учебная скважина 19 · Верхнее учебное / скв. 119 / Батский III пласт</t>
        </is>
      </c>
      <c r="D171" s="4" t="n">
        <v>45978</v>
      </c>
      <c r="E171" s="3" t="n">
        <v>2</v>
      </c>
      <c r="F171" s="3" t="inlineStr">
        <is>
          <t>Новый подбор</t>
        </is>
      </c>
      <c r="G171" s="3" t="inlineStr">
        <is>
          <t>Подбор деэмульгатора · лабораторная корректировка</t>
        </is>
      </c>
      <c r="H171" s="3" t="n">
        <v>495</v>
      </c>
      <c r="I171" s="3" t="n">
        <v>581</v>
      </c>
      <c r="J171" s="3">
        <f>MAX(I171-H171,0)</f>
        <v/>
      </c>
      <c r="K171" s="3" t="n">
        <v>33.3</v>
      </c>
      <c r="L171" s="3" t="n">
        <v>12100</v>
      </c>
      <c r="M171" s="3">
        <f>J171*K171*L171</f>
        <v/>
      </c>
      <c r="N171" s="3" t="n">
        <v>586500</v>
      </c>
      <c r="O171" s="3" t="n">
        <v>165000</v>
      </c>
      <c r="P171" s="3">
        <f>M171-N171-O171*J171/365</f>
        <v/>
      </c>
      <c r="Q171" s="3">
        <f>IFERROR(M171/(N171+O171*J171/365),0)</f>
        <v/>
      </c>
      <c r="R171" s="3">
        <f>IFERROR(N171/((M171/MAX(1,J171)*365)-O171)*12,0)</f>
        <v/>
      </c>
    </row>
    <row r="172">
      <c r="A172" s="3" t="inlineStr">
        <is>
          <t>EC-TRN-19-C2-C</t>
        </is>
      </c>
      <c r="B172" s="3" t="inlineStr">
        <is>
          <t>TRN-19</t>
        </is>
      </c>
      <c r="C172" s="3" t="inlineStr">
        <is>
          <t>Учебная скважина 19 · Верхнее учебное / скв. 119 / Батский III пласт</t>
        </is>
      </c>
      <c r="D172" s="4" t="n">
        <v>45978</v>
      </c>
      <c r="E172" s="3" t="n">
        <v>2</v>
      </c>
      <c r="F172" s="3" t="inlineStr">
        <is>
          <t>Комплексная защита</t>
        </is>
      </c>
      <c r="G172" s="3" t="inlineStr">
        <is>
          <t>Комплекс: Подбор деэмульгатора + мониторинг</t>
        </is>
      </c>
      <c r="H172" s="3" t="n">
        <v>495</v>
      </c>
      <c r="I172" s="3" t="n">
        <v>611</v>
      </c>
      <c r="J172" s="3">
        <f>MAX(I172-H172,0)</f>
        <v/>
      </c>
      <c r="K172" s="3" t="n">
        <v>33.3</v>
      </c>
      <c r="L172" s="3" t="n">
        <v>12100</v>
      </c>
      <c r="M172" s="3">
        <f>J172*K172*L172</f>
        <v/>
      </c>
      <c r="N172" s="3" t="n">
        <v>826500</v>
      </c>
      <c r="O172" s="3" t="n">
        <v>235000</v>
      </c>
      <c r="P172" s="3">
        <f>M172-N172-O172*J172/365</f>
        <v/>
      </c>
      <c r="Q172" s="3">
        <f>IFERROR(M172/(N172+O172*J172/365),0)</f>
        <v/>
      </c>
      <c r="R172" s="3">
        <f>IFERROR(N172/((M172/MAX(1,J172)*365)-O172)*12,0)</f>
        <v/>
      </c>
    </row>
    <row r="173">
      <c r="A173" s="3" t="inlineStr">
        <is>
          <t>EC-TRN-19-C3-A</t>
        </is>
      </c>
      <c r="B173" s="3" t="inlineStr">
        <is>
          <t>TRN-19</t>
        </is>
      </c>
      <c r="C173" s="3" t="inlineStr">
        <is>
          <t>Учебная скважина 19 · Верхнее учебное / скв. 119 / Батский III пласт</t>
        </is>
      </c>
      <c r="D173" s="4" t="n">
        <v>46202</v>
      </c>
      <c r="E173" s="3" t="n">
        <v>3</v>
      </c>
      <c r="F173" s="3" t="inlineStr">
        <is>
          <t>Повтор метода</t>
        </is>
      </c>
      <c r="G173" s="3" t="inlineStr">
        <is>
          <t>Повторная корректировка: Ингибитор солеотложений</t>
        </is>
      </c>
      <c r="H173" s="3" t="n">
        <v>214</v>
      </c>
      <c r="I173" s="3" t="n">
        <v>287</v>
      </c>
      <c r="J173" s="3">
        <f>MAX(I173-H173,0)</f>
        <v/>
      </c>
      <c r="K173" s="3" t="n">
        <v>33.3</v>
      </c>
      <c r="L173" s="3" t="n">
        <v>12100</v>
      </c>
      <c r="M173" s="3">
        <f>J173*K173*L173</f>
        <v/>
      </c>
      <c r="N173" s="3" t="n">
        <v>346500</v>
      </c>
      <c r="O173" s="3" t="n">
        <v>115000</v>
      </c>
      <c r="P173" s="3">
        <f>M173-N173-O173*J173/365</f>
        <v/>
      </c>
      <c r="Q173" s="3">
        <f>IFERROR(M173/(N173+O173*J173/365),0)</f>
        <v/>
      </c>
      <c r="R173" s="3">
        <f>IFERROR(N173/((M173/MAX(1,J173)*365)-O173)*12,0)</f>
        <v/>
      </c>
    </row>
    <row r="174">
      <c r="A174" s="3" t="inlineStr">
        <is>
          <t>EC-TRN-19-C3-B</t>
        </is>
      </c>
      <c r="B174" s="3" t="inlineStr">
        <is>
          <t>TRN-19</t>
        </is>
      </c>
      <c r="C174" s="3" t="inlineStr">
        <is>
          <t>Учебная скважина 19 · Верхнее учебное / скв. 119 / Батский III пласт</t>
        </is>
      </c>
      <c r="D174" s="4" t="n">
        <v>46202</v>
      </c>
      <c r="E174" s="3" t="n">
        <v>3</v>
      </c>
      <c r="F174" s="3" t="inlineStr">
        <is>
          <t>Новый подбор</t>
        </is>
      </c>
      <c r="G174" s="3" t="inlineStr">
        <is>
          <t>Повторная корректировка: Ингибитор солеотложений · лабораторная корректировка</t>
        </is>
      </c>
      <c r="H174" s="3" t="n">
        <v>214</v>
      </c>
      <c r="I174" s="3" t="n">
        <v>317</v>
      </c>
      <c r="J174" s="3">
        <f>MAX(I174-H174,0)</f>
        <v/>
      </c>
      <c r="K174" s="3" t="n">
        <v>33.3</v>
      </c>
      <c r="L174" s="3" t="n">
        <v>12100</v>
      </c>
      <c r="M174" s="3">
        <f>J174*K174*L174</f>
        <v/>
      </c>
      <c r="N174" s="3" t="n">
        <v>586500</v>
      </c>
      <c r="O174" s="3" t="n">
        <v>165000</v>
      </c>
      <c r="P174" s="3">
        <f>M174-N174-O174*J174/365</f>
        <v/>
      </c>
      <c r="Q174" s="3">
        <f>IFERROR(M174/(N174+O174*J174/365),0)</f>
        <v/>
      </c>
      <c r="R174" s="3">
        <f>IFERROR(N174/((M174/MAX(1,J174)*365)-O174)*12,0)</f>
        <v/>
      </c>
    </row>
    <row r="175">
      <c r="A175" s="3" t="inlineStr">
        <is>
          <t>EC-TRN-19-C3-C</t>
        </is>
      </c>
      <c r="B175" s="3" t="inlineStr">
        <is>
          <t>TRN-19</t>
        </is>
      </c>
      <c r="C175" s="3" t="inlineStr">
        <is>
          <t>Учебная скважина 19 · Верхнее учебное / скв. 119 / Батский III пласт</t>
        </is>
      </c>
      <c r="D175" s="4" t="n">
        <v>46202</v>
      </c>
      <c r="E175" s="3" t="n">
        <v>3</v>
      </c>
      <c r="F175" s="3" t="inlineStr">
        <is>
          <t>Комплексная защита</t>
        </is>
      </c>
      <c r="G175" s="3" t="inlineStr">
        <is>
          <t>Комплекс: Повторная корректировка: Ингибитор солеотложений + мониторинг</t>
        </is>
      </c>
      <c r="H175" s="3" t="n">
        <v>214</v>
      </c>
      <c r="I175" s="3" t="n">
        <v>347</v>
      </c>
      <c r="J175" s="3">
        <f>MAX(I175-H175,0)</f>
        <v/>
      </c>
      <c r="K175" s="3" t="n">
        <v>33.3</v>
      </c>
      <c r="L175" s="3" t="n">
        <v>12100</v>
      </c>
      <c r="M175" s="3">
        <f>J175*K175*L175</f>
        <v/>
      </c>
      <c r="N175" s="3" t="n">
        <v>826500</v>
      </c>
      <c r="O175" s="3" t="n">
        <v>235000</v>
      </c>
      <c r="P175" s="3">
        <f>M175-N175-O175*J175/365</f>
        <v/>
      </c>
      <c r="Q175" s="3">
        <f>IFERROR(M175/(N175+O175*J175/365),0)</f>
        <v/>
      </c>
      <c r="R175" s="3">
        <f>IFERROR(N175/((M175/MAX(1,J175)*365)-O175)*12,0)</f>
        <v/>
      </c>
    </row>
    <row r="176">
      <c r="A176" s="3" t="inlineStr">
        <is>
          <t>EC-TRN-20-C1-A</t>
        </is>
      </c>
      <c r="B176" s="3" t="inlineStr">
        <is>
          <t>TRN-20</t>
        </is>
      </c>
      <c r="C176" s="3" t="inlineStr">
        <is>
          <t>Учебная скважина 20 · Юго-Западное учебное / скв. 120 / Турнейский горизонт</t>
        </is>
      </c>
      <c r="D176" s="4" t="n">
        <v>45548</v>
      </c>
      <c r="E176" s="3" t="n">
        <v>1</v>
      </c>
      <c r="F176" s="3" t="inlineStr">
        <is>
          <t>Повтор метода</t>
        </is>
      </c>
      <c r="G176" s="3" t="inlineStr">
        <is>
          <t>Подбор газосепаратора</t>
        </is>
      </c>
      <c r="H176" s="3" t="n">
        <v>299</v>
      </c>
      <c r="I176" s="3" t="n">
        <v>351</v>
      </c>
      <c r="J176" s="3">
        <f>MAX(I176-H176,0)</f>
        <v/>
      </c>
      <c r="K176" s="3" t="n">
        <v>33.2</v>
      </c>
      <c r="L176" s="3" t="n">
        <v>9800</v>
      </c>
      <c r="M176" s="3">
        <f>J176*K176*L176</f>
        <v/>
      </c>
      <c r="N176" s="3" t="n">
        <v>350000</v>
      </c>
      <c r="O176" s="3" t="n">
        <v>115000</v>
      </c>
      <c r="P176" s="3">
        <f>M176-N176-O176*J176/365</f>
        <v/>
      </c>
      <c r="Q176" s="3">
        <f>IFERROR(M176/(N176+O176*J176/365),0)</f>
        <v/>
      </c>
      <c r="R176" s="3">
        <f>IFERROR(N176/((M176/MAX(1,J176)*365)-O176)*12,0)</f>
        <v/>
      </c>
    </row>
    <row r="177">
      <c r="A177" s="3" t="inlineStr">
        <is>
          <t>EC-TRN-20-C1-B</t>
        </is>
      </c>
      <c r="B177" s="3" t="inlineStr">
        <is>
          <t>TRN-20</t>
        </is>
      </c>
      <c r="C177" s="3" t="inlineStr">
        <is>
          <t>Учебная скважина 20 · Юго-Западное учебное / скв. 120 / Турнейский горизонт</t>
        </is>
      </c>
      <c r="D177" s="4" t="n">
        <v>45548</v>
      </c>
      <c r="E177" s="3" t="n">
        <v>1</v>
      </c>
      <c r="F177" s="3" t="inlineStr">
        <is>
          <t>Новый подбор</t>
        </is>
      </c>
      <c r="G177" s="3" t="inlineStr">
        <is>
          <t>Подбор газосепаратора · лабораторная корректировка</t>
        </is>
      </c>
      <c r="H177" s="3" t="n">
        <v>299</v>
      </c>
      <c r="I177" s="3" t="n">
        <v>381</v>
      </c>
      <c r="J177" s="3">
        <f>MAX(I177-H177,0)</f>
        <v/>
      </c>
      <c r="K177" s="3" t="n">
        <v>33.2</v>
      </c>
      <c r="L177" s="3" t="n">
        <v>9800</v>
      </c>
      <c r="M177" s="3">
        <f>J177*K177*L177</f>
        <v/>
      </c>
      <c r="N177" s="3" t="n">
        <v>590000</v>
      </c>
      <c r="O177" s="3" t="n">
        <v>165000</v>
      </c>
      <c r="P177" s="3">
        <f>M177-N177-O177*J177/365</f>
        <v/>
      </c>
      <c r="Q177" s="3">
        <f>IFERROR(M177/(N177+O177*J177/365),0)</f>
        <v/>
      </c>
      <c r="R177" s="3">
        <f>IFERROR(N177/((M177/MAX(1,J177)*365)-O177)*12,0)</f>
        <v/>
      </c>
    </row>
    <row r="178">
      <c r="A178" s="3" t="inlineStr">
        <is>
          <t>EC-TRN-20-C1-C</t>
        </is>
      </c>
      <c r="B178" s="3" t="inlineStr">
        <is>
          <t>TRN-20</t>
        </is>
      </c>
      <c r="C178" s="3" t="inlineStr">
        <is>
          <t>Учебная скважина 20 · Юго-Западное учебное / скв. 120 / Турнейский горизонт</t>
        </is>
      </c>
      <c r="D178" s="4" t="n">
        <v>45548</v>
      </c>
      <c r="E178" s="3" t="n">
        <v>1</v>
      </c>
      <c r="F178" s="3" t="inlineStr">
        <is>
          <t>Комплексная защита</t>
        </is>
      </c>
      <c r="G178" s="3" t="inlineStr">
        <is>
          <t>Комплекс: Подбор газосепаратора + мониторинг</t>
        </is>
      </c>
      <c r="H178" s="3" t="n">
        <v>299</v>
      </c>
      <c r="I178" s="3" t="n">
        <v>411</v>
      </c>
      <c r="J178" s="3">
        <f>MAX(I178-H178,0)</f>
        <v/>
      </c>
      <c r="K178" s="3" t="n">
        <v>33.2</v>
      </c>
      <c r="L178" s="3" t="n">
        <v>9800</v>
      </c>
      <c r="M178" s="3">
        <f>J178*K178*L178</f>
        <v/>
      </c>
      <c r="N178" s="3" t="n">
        <v>830000</v>
      </c>
      <c r="O178" s="3" t="n">
        <v>235000</v>
      </c>
      <c r="P178" s="3">
        <f>M178-N178-O178*J178/365</f>
        <v/>
      </c>
      <c r="Q178" s="3">
        <f>IFERROR(M178/(N178+O178*J178/365),0)</f>
        <v/>
      </c>
      <c r="R178" s="3">
        <f>IFERROR(N178/((M178/MAX(1,J178)*365)-O178)*12,0)</f>
        <v/>
      </c>
    </row>
    <row r="179">
      <c r="A179" s="3" t="inlineStr">
        <is>
          <t>EC-TRN-20-C2-A</t>
        </is>
      </c>
      <c r="B179" s="3" t="inlineStr">
        <is>
          <t>TRN-20</t>
        </is>
      </c>
      <c r="C179" s="3" t="inlineStr">
        <is>
          <t>Учебная скважина 20 · Юго-Западное учебное / скв. 120 / Турнейский горизонт</t>
        </is>
      </c>
      <c r="D179" s="4" t="n">
        <v>45772</v>
      </c>
      <c r="E179" s="3" t="n">
        <v>2</v>
      </c>
      <c r="F179" s="3" t="inlineStr">
        <is>
          <t>Повтор метода</t>
        </is>
      </c>
      <c r="G179" s="3" t="inlineStr">
        <is>
          <t>Повторная корректировка: Тепловой режим + ингибитор гидратов</t>
        </is>
      </c>
      <c r="H179" s="3" t="n">
        <v>214</v>
      </c>
      <c r="I179" s="3" t="n">
        <v>283</v>
      </c>
      <c r="J179" s="3">
        <f>MAX(I179-H179,0)</f>
        <v/>
      </c>
      <c r="K179" s="3" t="n">
        <v>33.2</v>
      </c>
      <c r="L179" s="3" t="n">
        <v>9800</v>
      </c>
      <c r="M179" s="3">
        <f>J179*K179*L179</f>
        <v/>
      </c>
      <c r="N179" s="3" t="n">
        <v>350000</v>
      </c>
      <c r="O179" s="3" t="n">
        <v>115000</v>
      </c>
      <c r="P179" s="3">
        <f>M179-N179-O179*J179/365</f>
        <v/>
      </c>
      <c r="Q179" s="3">
        <f>IFERROR(M179/(N179+O179*J179/365),0)</f>
        <v/>
      </c>
      <c r="R179" s="3">
        <f>IFERROR(N179/((M179/MAX(1,J179)*365)-O179)*12,0)</f>
        <v/>
      </c>
    </row>
    <row r="180">
      <c r="A180" s="3" t="inlineStr">
        <is>
          <t>EC-TRN-20-C2-B</t>
        </is>
      </c>
      <c r="B180" s="3" t="inlineStr">
        <is>
          <t>TRN-20</t>
        </is>
      </c>
      <c r="C180" s="3" t="inlineStr">
        <is>
          <t>Учебная скважина 20 · Юго-Западное учебное / скв. 120 / Турнейский горизонт</t>
        </is>
      </c>
      <c r="D180" s="4" t="n">
        <v>45772</v>
      </c>
      <c r="E180" s="3" t="n">
        <v>2</v>
      </c>
      <c r="F180" s="3" t="inlineStr">
        <is>
          <t>Новый подбор</t>
        </is>
      </c>
      <c r="G180" s="3" t="inlineStr">
        <is>
          <t>Повторная корректировка: Тепловой режим + ингибитор гидратов · лабораторная корректировка</t>
        </is>
      </c>
      <c r="H180" s="3" t="n">
        <v>214</v>
      </c>
      <c r="I180" s="3" t="n">
        <v>313</v>
      </c>
      <c r="J180" s="3">
        <f>MAX(I180-H180,0)</f>
        <v/>
      </c>
      <c r="K180" s="3" t="n">
        <v>33.2</v>
      </c>
      <c r="L180" s="3" t="n">
        <v>9800</v>
      </c>
      <c r="M180" s="3">
        <f>J180*K180*L180</f>
        <v/>
      </c>
      <c r="N180" s="3" t="n">
        <v>590000</v>
      </c>
      <c r="O180" s="3" t="n">
        <v>165000</v>
      </c>
      <c r="P180" s="3">
        <f>M180-N180-O180*J180/365</f>
        <v/>
      </c>
      <c r="Q180" s="3">
        <f>IFERROR(M180/(N180+O180*J180/365),0)</f>
        <v/>
      </c>
      <c r="R180" s="3">
        <f>IFERROR(N180/((M180/MAX(1,J180)*365)-O180)*12,0)</f>
        <v/>
      </c>
    </row>
    <row r="181">
      <c r="A181" s="3" t="inlineStr">
        <is>
          <t>EC-TRN-20-C2-C</t>
        </is>
      </c>
      <c r="B181" s="3" t="inlineStr">
        <is>
          <t>TRN-20</t>
        </is>
      </c>
      <c r="C181" s="3" t="inlineStr">
        <is>
          <t>Учебная скважина 20 · Юго-Западное учебное / скв. 120 / Турнейский горизонт</t>
        </is>
      </c>
      <c r="D181" s="4" t="n">
        <v>45772</v>
      </c>
      <c r="E181" s="3" t="n">
        <v>2</v>
      </c>
      <c r="F181" s="3" t="inlineStr">
        <is>
          <t>Комплексная защита</t>
        </is>
      </c>
      <c r="G181" s="3" t="inlineStr">
        <is>
          <t>Комплекс: Повторная корректировка: Тепловой режим + ингибитор гидратов + мониторинг</t>
        </is>
      </c>
      <c r="H181" s="3" t="n">
        <v>214</v>
      </c>
      <c r="I181" s="3" t="n">
        <v>343</v>
      </c>
      <c r="J181" s="3">
        <f>MAX(I181-H181,0)</f>
        <v/>
      </c>
      <c r="K181" s="3" t="n">
        <v>33.2</v>
      </c>
      <c r="L181" s="3" t="n">
        <v>9800</v>
      </c>
      <c r="M181" s="3">
        <f>J181*K181*L181</f>
        <v/>
      </c>
      <c r="N181" s="3" t="n">
        <v>830000</v>
      </c>
      <c r="O181" s="3" t="n">
        <v>235000</v>
      </c>
      <c r="P181" s="3">
        <f>M181-N181-O181*J181/365</f>
        <v/>
      </c>
      <c r="Q181" s="3">
        <f>IFERROR(M181/(N181+O181*J181/365),0)</f>
        <v/>
      </c>
      <c r="R181" s="3">
        <f>IFERROR(N181/((M181/MAX(1,J181)*365)-O181)*12,0)</f>
        <v/>
      </c>
    </row>
    <row r="182">
      <c r="A182" s="3" t="inlineStr">
        <is>
          <t>EC-TRN-20-C3-A</t>
        </is>
      </c>
      <c r="B182" s="3" t="inlineStr">
        <is>
          <t>TRN-20</t>
        </is>
      </c>
      <c r="C182" s="3" t="inlineStr">
        <is>
          <t>Учебная скважина 20 · Юго-Западное учебное / скв. 120 / Турнейский горизонт</t>
        </is>
      </c>
      <c r="D182" s="4" t="n">
        <v>46295</v>
      </c>
      <c r="E182" s="3" t="n">
        <v>3</v>
      </c>
      <c r="F182" s="3" t="inlineStr">
        <is>
          <t>Повтор метода</t>
        </is>
      </c>
      <c r="G182" s="3" t="inlineStr">
        <is>
          <t>Повторная корректировка: Подбор растворителя и профилактики</t>
        </is>
      </c>
      <c r="H182" s="3" t="n">
        <v>519</v>
      </c>
      <c r="I182" s="3" t="n">
        <v>550</v>
      </c>
      <c r="J182" s="3">
        <f>MAX(I182-H182,0)</f>
        <v/>
      </c>
      <c r="K182" s="3" t="n">
        <v>33.2</v>
      </c>
      <c r="L182" s="3" t="n">
        <v>9800</v>
      </c>
      <c r="M182" s="3">
        <f>J182*K182*L182</f>
        <v/>
      </c>
      <c r="N182" s="3" t="n">
        <v>350000</v>
      </c>
      <c r="O182" s="3" t="n">
        <v>115000</v>
      </c>
      <c r="P182" s="3">
        <f>M182-N182-O182*J182/365</f>
        <v/>
      </c>
      <c r="Q182" s="3">
        <f>IFERROR(M182/(N182+O182*J182/365),0)</f>
        <v/>
      </c>
      <c r="R182" s="3">
        <f>IFERROR(N182/((M182/MAX(1,J182)*365)-O182)*12,0)</f>
        <v/>
      </c>
    </row>
    <row r="183">
      <c r="A183" s="3" t="inlineStr">
        <is>
          <t>EC-TRN-20-C3-B</t>
        </is>
      </c>
      <c r="B183" s="3" t="inlineStr">
        <is>
          <t>TRN-20</t>
        </is>
      </c>
      <c r="C183" s="3" t="inlineStr">
        <is>
          <t>Учебная скважина 20 · Юго-Западное учебное / скв. 120 / Турнейский горизонт</t>
        </is>
      </c>
      <c r="D183" s="4" t="n">
        <v>46295</v>
      </c>
      <c r="E183" s="3" t="n">
        <v>3</v>
      </c>
      <c r="F183" s="3" t="inlineStr">
        <is>
          <t>Новый подбор</t>
        </is>
      </c>
      <c r="G183" s="3" t="inlineStr">
        <is>
          <t>Повторная корректировка: Подбор растворителя и профилактики · лабораторная корректировка</t>
        </is>
      </c>
      <c r="H183" s="3" t="n">
        <v>519</v>
      </c>
      <c r="I183" s="3" t="n">
        <v>580</v>
      </c>
      <c r="J183" s="3">
        <f>MAX(I183-H183,0)</f>
        <v/>
      </c>
      <c r="K183" s="3" t="n">
        <v>33.2</v>
      </c>
      <c r="L183" s="3" t="n">
        <v>9800</v>
      </c>
      <c r="M183" s="3">
        <f>J183*K183*L183</f>
        <v/>
      </c>
      <c r="N183" s="3" t="n">
        <v>590000</v>
      </c>
      <c r="O183" s="3" t="n">
        <v>165000</v>
      </c>
      <c r="P183" s="3">
        <f>M183-N183-O183*J183/365</f>
        <v/>
      </c>
      <c r="Q183" s="3">
        <f>IFERROR(M183/(N183+O183*J183/365),0)</f>
        <v/>
      </c>
      <c r="R183" s="3">
        <f>IFERROR(N183/((M183/MAX(1,J183)*365)-O183)*12,0)</f>
        <v/>
      </c>
    </row>
    <row r="184">
      <c r="A184" s="3" t="inlineStr">
        <is>
          <t>EC-TRN-20-C3-C</t>
        </is>
      </c>
      <c r="B184" s="3" t="inlineStr">
        <is>
          <t>TRN-20</t>
        </is>
      </c>
      <c r="C184" s="3" t="inlineStr">
        <is>
          <t>Учебная скважина 20 · Юго-Западное учебное / скв. 120 / Турнейский горизонт</t>
        </is>
      </c>
      <c r="D184" s="4" t="n">
        <v>46295</v>
      </c>
      <c r="E184" s="3" t="n">
        <v>3</v>
      </c>
      <c r="F184" s="3" t="inlineStr">
        <is>
          <t>Комплексная защита</t>
        </is>
      </c>
      <c r="G184" s="3" t="inlineStr">
        <is>
          <t>Комплекс: Повторная корректировка: Подбор растворителя и профилактики + мониторинг</t>
        </is>
      </c>
      <c r="H184" s="3" t="n">
        <v>519</v>
      </c>
      <c r="I184" s="3" t="n">
        <v>610</v>
      </c>
      <c r="J184" s="3">
        <f>MAX(I184-H184,0)</f>
        <v/>
      </c>
      <c r="K184" s="3" t="n">
        <v>33.2</v>
      </c>
      <c r="L184" s="3" t="n">
        <v>9800</v>
      </c>
      <c r="M184" s="3">
        <f>J184*K184*L184</f>
        <v/>
      </c>
      <c r="N184" s="3" t="n">
        <v>830000</v>
      </c>
      <c r="O184" s="3" t="n">
        <v>235000</v>
      </c>
      <c r="P184" s="3">
        <f>M184-N184-O184*J184/365</f>
        <v/>
      </c>
      <c r="Q184" s="3">
        <f>IFERROR(M184/(N184+O184*J184/365),0)</f>
        <v/>
      </c>
      <c r="R184" s="3">
        <f>IFERROR(N184/((M184/MAX(1,J184)*365)-O184)*12,0)</f>
        <v/>
      </c>
    </row>
  </sheetData>
  <autoFilter ref="A1:R1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6" customWidth="1" min="3" max="3"/>
    <col width="18" customWidth="1" min="4" max="4"/>
    <col width="22" customWidth="1" min="5" max="5"/>
    <col width="18" customWidth="1" min="6" max="6"/>
    <col width="18" customWidth="1" min="7" max="7"/>
    <col width="22" customWidth="1" min="8" max="8"/>
  </cols>
  <sheetData>
    <row r="1" ht="26" customHeight="1">
      <c r="A1" s="1" t="inlineStr">
        <is>
          <t>Экономическая сводка по сценариям</t>
        </is>
      </c>
      <c r="B1" s="1" t="n"/>
      <c r="C1" s="1" t="n"/>
      <c r="D1" s="1" t="n"/>
      <c r="E1" s="1" t="n"/>
      <c r="F1" s="1" t="n"/>
      <c r="G1" s="1" t="n"/>
      <c r="H1" s="1" t="n"/>
    </row>
    <row r="2" ht="30" customHeight="1">
      <c r="A2" t="inlineStr">
        <is>
          <t>Каждая строка сравнивает условный вариант для одного цикла. Суммарные значения — учебная выборка, не прогноз бюджета фонда.</t>
        </is>
      </c>
    </row>
    <row r="4">
      <c r="A4" s="2" t="inlineStr">
        <is>
          <t>Сценарий</t>
        </is>
      </c>
      <c r="B4" s="2" t="inlineStr">
        <is>
          <t>Вариантов</t>
        </is>
      </c>
      <c r="C4" s="2" t="inlineStr">
        <is>
          <t>Доп. дни МРП</t>
        </is>
      </c>
      <c r="D4" s="2" t="inlineStr">
        <is>
          <t>Валовый эффект, руб.</t>
        </is>
      </c>
      <c r="E4" s="2" t="inlineStr">
        <is>
          <t>CAPEX, руб.</t>
        </is>
      </c>
      <c r="F4" s="2" t="inlineStr">
        <is>
          <t>OPEX с учетом доп. дней, руб.</t>
        </is>
      </c>
      <c r="G4" s="2" t="inlineStr">
        <is>
          <t>Чистый эффект, руб.</t>
        </is>
      </c>
      <c r="H4" s="2" t="inlineStr">
        <is>
          <t>Средний эффект на вариант, руб.</t>
        </is>
      </c>
    </row>
    <row r="5">
      <c r="A5" s="3" t="inlineStr">
        <is>
          <t>Повтор метода</t>
        </is>
      </c>
      <c r="B5" s="3">
        <f>COUNTIF(Сценарии!$F$5:$F$184,A5)</f>
        <v/>
      </c>
      <c r="C5" s="3">
        <f>SUMIF(Сценарии!$F$5:$F$184,A5,Сценарии!$J$5:$J$184)</f>
        <v/>
      </c>
      <c r="D5" s="3">
        <f>SUMIF(Сценарии!$F$5:$F$184,A5,Сценарии!$M$5:$M$184)</f>
        <v/>
      </c>
      <c r="E5" s="3">
        <f>SUMIF(Сценарии!$F$5:$F$184,A5,Сценарии!$N$5:$N$184)</f>
        <v/>
      </c>
      <c r="F5" s="3">
        <f>SUMPRODUCT((Сценарии!$F$5:$F$184=A5)*Сценарии!$O$5:$O$184*Сценарии!$J$5:$J$184/365)</f>
        <v/>
      </c>
      <c r="G5" s="3">
        <f>D5-E5-F5</f>
        <v/>
      </c>
      <c r="H5" s="3">
        <f>IFERROR(G5/B5,0)</f>
        <v/>
      </c>
    </row>
    <row r="6">
      <c r="A6" s="3" t="inlineStr">
        <is>
          <t>Новый подбор</t>
        </is>
      </c>
      <c r="B6" s="3">
        <f>COUNTIF(Сценарии!$F$5:$F$184,A6)</f>
        <v/>
      </c>
      <c r="C6" s="3">
        <f>SUMIF(Сценарии!$F$5:$F$184,A6,Сценарии!$J$5:$J$184)</f>
        <v/>
      </c>
      <c r="D6" s="3">
        <f>SUMIF(Сценарии!$F$5:$F$184,A6,Сценарии!$M$5:$M$184)</f>
        <v/>
      </c>
      <c r="E6" s="3">
        <f>SUMIF(Сценарии!$F$5:$F$184,A6,Сценарии!$N$5:$N$184)</f>
        <v/>
      </c>
      <c r="F6" s="3">
        <f>SUMPRODUCT((Сценарии!$F$5:$F$184=A6)*Сценарии!$O$5:$O$184*Сценарии!$J$5:$J$184/365)</f>
        <v/>
      </c>
      <c r="G6" s="3">
        <f>D6-E6-F6</f>
        <v/>
      </c>
      <c r="H6" s="3">
        <f>IFERROR(G6/B6,0)</f>
        <v/>
      </c>
    </row>
    <row r="7">
      <c r="A7" s="3" t="inlineStr">
        <is>
          <t>Комплексная защита</t>
        </is>
      </c>
      <c r="B7" s="3">
        <f>COUNTIF(Сценарии!$F$5:$F$184,A7)</f>
        <v/>
      </c>
      <c r="C7" s="3">
        <f>SUMIF(Сценарии!$F$5:$F$184,A7,Сценарии!$J$5:$J$184)</f>
        <v/>
      </c>
      <c r="D7" s="3">
        <f>SUMIF(Сценарии!$F$5:$F$184,A7,Сценарии!$M$5:$M$184)</f>
        <v/>
      </c>
      <c r="E7" s="3">
        <f>SUMIF(Сценарии!$F$5:$F$184,A7,Сценарии!$N$5:$N$184)</f>
        <v/>
      </c>
      <c r="F7" s="3">
        <f>SUMPRODUCT((Сценарии!$F$5:$F$184=A7)*Сценарии!$O$5:$O$184*Сценарии!$J$5:$J$184/365)</f>
        <v/>
      </c>
      <c r="G7" s="3">
        <f>D7-E7-F7</f>
        <v/>
      </c>
      <c r="H7" s="3">
        <f>IFERROR(G7/B7,0)</f>
        <v/>
      </c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inlineStr">
        <is>
          <t>Динамика экономических сценариев по году оценки</t>
        </is>
      </c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inlineStr">
        <is>
          <t>Год</t>
        </is>
      </c>
      <c r="B11" s="3" t="inlineStr">
        <is>
          <t>Сценарий</t>
        </is>
      </c>
      <c r="C11" s="3" t="inlineStr">
        <is>
          <t>Вариантов</t>
        </is>
      </c>
      <c r="D11" s="3" t="inlineStr">
        <is>
          <t>Доп. дни МРП</t>
        </is>
      </c>
      <c r="E11" s="3" t="inlineStr">
        <is>
          <t>Валовый эффект, руб.</t>
        </is>
      </c>
      <c r="F11" s="3" t="inlineStr">
        <is>
          <t>CAPEX, руб.</t>
        </is>
      </c>
      <c r="G11" s="3" t="inlineStr">
        <is>
          <t>OPEX, руб.</t>
        </is>
      </c>
      <c r="H11" s="3" t="inlineStr">
        <is>
          <t>Чистый эффект, руб.</t>
        </is>
      </c>
    </row>
    <row r="12">
      <c r="A12" s="3" t="n">
        <v>2024</v>
      </c>
      <c r="B12" s="3" t="inlineStr">
        <is>
          <t>Повтор метода</t>
        </is>
      </c>
      <c r="C12" s="3">
        <f>COUNTIFS(Сценарии!$F$5:$F$184,B12,Сценарии!$D$5:$D$184,"&gt;="&amp;DATE(A12,1,1),Сценарии!$D$5:$D$184,"&lt;="&amp;DATE(A12,12,31))</f>
        <v/>
      </c>
      <c r="D12" s="3">
        <f>SUMIFS(Сценарии!$J$5:$J$184,Сценарии!$F$5:$F$184,B12,Сценарии!$D$5:$D$184,"&gt;="&amp;DATE(A12,1,1),Сценарии!$D$5:$D$184,"&lt;="&amp;DATE(A12,12,31))</f>
        <v/>
      </c>
      <c r="E12" s="3">
        <f>SUMIFS(Сценарии!$M$5:$M$184,Сценарии!$F$5:$F$184,B12,Сценарии!$D$5:$D$184,"&gt;="&amp;DATE(A12,1,1),Сценарии!$D$5:$D$184,"&lt;="&amp;DATE(A12,12,31))</f>
        <v/>
      </c>
      <c r="F12" s="3">
        <f>SUMIFS(Сценарии!$N$5:$N$184,Сценарии!$F$5:$F$184,B12,Сценарии!$D$5:$D$184,"&gt;="&amp;DATE(A12,1,1),Сценарии!$D$5:$D$184,"&lt;="&amp;DATE(A12,12,31))</f>
        <v/>
      </c>
      <c r="G12" s="3">
        <f>SUMPRODUCT((Сценарии!$F$5:$F$184=B12)*(Сценарии!$D$5:$D$184&gt;=DATE(A12,1,1))*(Сценарии!$D$5:$D$184&lt;=DATE(A12,12,31))*Сценарии!$O$5:$O$184*Сценарии!$J$5:$J$184/365)</f>
        <v/>
      </c>
      <c r="H12" s="3">
        <f>E12-F12-G12</f>
        <v/>
      </c>
    </row>
    <row r="13">
      <c r="A13" s="3" t="n">
        <v>2024</v>
      </c>
      <c r="B13" s="3" t="inlineStr">
        <is>
          <t>Новый подбор</t>
        </is>
      </c>
      <c r="C13" s="3">
        <f>COUNTIFS(Сценарии!$F$5:$F$184,B13,Сценарии!$D$5:$D$184,"&gt;="&amp;DATE(A13,1,1),Сценарии!$D$5:$D$184,"&lt;="&amp;DATE(A13,12,31))</f>
        <v/>
      </c>
      <c r="D13" s="3">
        <f>SUMIFS(Сценарии!$J$5:$J$184,Сценарии!$F$5:$F$184,B13,Сценарии!$D$5:$D$184,"&gt;="&amp;DATE(A13,1,1),Сценарии!$D$5:$D$184,"&lt;="&amp;DATE(A13,12,31))</f>
        <v/>
      </c>
      <c r="E13" s="3">
        <f>SUMIFS(Сценарии!$M$5:$M$184,Сценарии!$F$5:$F$184,B13,Сценарии!$D$5:$D$184,"&gt;="&amp;DATE(A13,1,1),Сценарии!$D$5:$D$184,"&lt;="&amp;DATE(A13,12,31))</f>
        <v/>
      </c>
      <c r="F13" s="3">
        <f>SUMIFS(Сценарии!$N$5:$N$184,Сценарии!$F$5:$F$184,B13,Сценарии!$D$5:$D$184,"&gt;="&amp;DATE(A13,1,1),Сценарии!$D$5:$D$184,"&lt;="&amp;DATE(A13,12,31))</f>
        <v/>
      </c>
      <c r="G13" s="3">
        <f>SUMPRODUCT((Сценарии!$F$5:$F$184=B13)*(Сценарии!$D$5:$D$184&gt;=DATE(A13,1,1))*(Сценарии!$D$5:$D$184&lt;=DATE(A13,12,31))*Сценарии!$O$5:$O$184*Сценарии!$J$5:$J$184/365)</f>
        <v/>
      </c>
      <c r="H13" s="3">
        <f>E13-F13-G13</f>
        <v/>
      </c>
    </row>
    <row r="14">
      <c r="A14" s="3" t="n">
        <v>2024</v>
      </c>
      <c r="B14" s="3" t="inlineStr">
        <is>
          <t>Комплексная защита</t>
        </is>
      </c>
      <c r="C14" s="3">
        <f>COUNTIFS(Сценарии!$F$5:$F$184,B14,Сценарии!$D$5:$D$184,"&gt;="&amp;DATE(A14,1,1),Сценарии!$D$5:$D$184,"&lt;="&amp;DATE(A14,12,31))</f>
        <v/>
      </c>
      <c r="D14" s="3">
        <f>SUMIFS(Сценарии!$J$5:$J$184,Сценарии!$F$5:$F$184,B14,Сценарии!$D$5:$D$184,"&gt;="&amp;DATE(A14,1,1),Сценарии!$D$5:$D$184,"&lt;="&amp;DATE(A14,12,31))</f>
        <v/>
      </c>
      <c r="E14" s="3">
        <f>SUMIFS(Сценарии!$M$5:$M$184,Сценарии!$F$5:$F$184,B14,Сценарии!$D$5:$D$184,"&gt;="&amp;DATE(A14,1,1),Сценарии!$D$5:$D$184,"&lt;="&amp;DATE(A14,12,31))</f>
        <v/>
      </c>
      <c r="F14" s="3">
        <f>SUMIFS(Сценарии!$N$5:$N$184,Сценарии!$F$5:$F$184,B14,Сценарии!$D$5:$D$184,"&gt;="&amp;DATE(A14,1,1),Сценарии!$D$5:$D$184,"&lt;="&amp;DATE(A14,12,31))</f>
        <v/>
      </c>
      <c r="G14" s="3">
        <f>SUMPRODUCT((Сценарии!$F$5:$F$184=B14)*(Сценарии!$D$5:$D$184&gt;=DATE(A14,1,1))*(Сценарии!$D$5:$D$184&lt;=DATE(A14,12,31))*Сценарии!$O$5:$O$184*Сценарии!$J$5:$J$184/365)</f>
        <v/>
      </c>
      <c r="H14" s="3">
        <f>E14-F14-G14</f>
        <v/>
      </c>
    </row>
    <row r="15">
      <c r="A15" s="3" t="n">
        <v>2025</v>
      </c>
      <c r="B15" s="3" t="inlineStr">
        <is>
          <t>Повтор метода</t>
        </is>
      </c>
      <c r="C15" s="3">
        <f>COUNTIFS(Сценарии!$F$5:$F$184,B15,Сценарии!$D$5:$D$184,"&gt;="&amp;DATE(A15,1,1),Сценарии!$D$5:$D$184,"&lt;="&amp;DATE(A15,12,31))</f>
        <v/>
      </c>
      <c r="D15" s="3">
        <f>SUMIFS(Сценарии!$J$5:$J$184,Сценарии!$F$5:$F$184,B15,Сценарии!$D$5:$D$184,"&gt;="&amp;DATE(A15,1,1),Сценарии!$D$5:$D$184,"&lt;="&amp;DATE(A15,12,31))</f>
        <v/>
      </c>
      <c r="E15" s="3">
        <f>SUMIFS(Сценарии!$M$5:$M$184,Сценарии!$F$5:$F$184,B15,Сценарии!$D$5:$D$184,"&gt;="&amp;DATE(A15,1,1),Сценарии!$D$5:$D$184,"&lt;="&amp;DATE(A15,12,31))</f>
        <v/>
      </c>
      <c r="F15" s="3">
        <f>SUMIFS(Сценарии!$N$5:$N$184,Сценарии!$F$5:$F$184,B15,Сценарии!$D$5:$D$184,"&gt;="&amp;DATE(A15,1,1),Сценарии!$D$5:$D$184,"&lt;="&amp;DATE(A15,12,31))</f>
        <v/>
      </c>
      <c r="G15" s="3">
        <f>SUMPRODUCT((Сценарии!$F$5:$F$184=B15)*(Сценарии!$D$5:$D$184&gt;=DATE(A15,1,1))*(Сценарии!$D$5:$D$184&lt;=DATE(A15,12,31))*Сценарии!$O$5:$O$184*Сценарии!$J$5:$J$184/365)</f>
        <v/>
      </c>
      <c r="H15" s="3">
        <f>E15-F15-G15</f>
        <v/>
      </c>
    </row>
    <row r="16">
      <c r="A16" s="3" t="n">
        <v>2025</v>
      </c>
      <c r="B16" s="3" t="inlineStr">
        <is>
          <t>Новый подбор</t>
        </is>
      </c>
      <c r="C16" s="3">
        <f>COUNTIFS(Сценарии!$F$5:$F$184,B16,Сценарии!$D$5:$D$184,"&gt;="&amp;DATE(A16,1,1),Сценарии!$D$5:$D$184,"&lt;="&amp;DATE(A16,12,31))</f>
        <v/>
      </c>
      <c r="D16" s="3">
        <f>SUMIFS(Сценарии!$J$5:$J$184,Сценарии!$F$5:$F$184,B16,Сценарии!$D$5:$D$184,"&gt;="&amp;DATE(A16,1,1),Сценарии!$D$5:$D$184,"&lt;="&amp;DATE(A16,12,31))</f>
        <v/>
      </c>
      <c r="E16" s="3">
        <f>SUMIFS(Сценарии!$M$5:$M$184,Сценарии!$F$5:$F$184,B16,Сценарии!$D$5:$D$184,"&gt;="&amp;DATE(A16,1,1),Сценарии!$D$5:$D$184,"&lt;="&amp;DATE(A16,12,31))</f>
        <v/>
      </c>
      <c r="F16" s="3">
        <f>SUMIFS(Сценарии!$N$5:$N$184,Сценарии!$F$5:$F$184,B16,Сценарии!$D$5:$D$184,"&gt;="&amp;DATE(A16,1,1),Сценарии!$D$5:$D$184,"&lt;="&amp;DATE(A16,12,31))</f>
        <v/>
      </c>
      <c r="G16" s="3">
        <f>SUMPRODUCT((Сценарии!$F$5:$F$184=B16)*(Сценарии!$D$5:$D$184&gt;=DATE(A16,1,1))*(Сценарии!$D$5:$D$184&lt;=DATE(A16,12,31))*Сценарии!$O$5:$O$184*Сценарии!$J$5:$J$184/365)</f>
        <v/>
      </c>
      <c r="H16" s="3">
        <f>E16-F16-G16</f>
        <v/>
      </c>
    </row>
    <row r="17">
      <c r="A17" s="3" t="n">
        <v>2025</v>
      </c>
      <c r="B17" s="3" t="inlineStr">
        <is>
          <t>Комплексная защита</t>
        </is>
      </c>
      <c r="C17" s="3">
        <f>COUNTIFS(Сценарии!$F$5:$F$184,B17,Сценарии!$D$5:$D$184,"&gt;="&amp;DATE(A17,1,1),Сценарии!$D$5:$D$184,"&lt;="&amp;DATE(A17,12,31))</f>
        <v/>
      </c>
      <c r="D17" s="3">
        <f>SUMIFS(Сценарии!$J$5:$J$184,Сценарии!$F$5:$F$184,B17,Сценарии!$D$5:$D$184,"&gt;="&amp;DATE(A17,1,1),Сценарии!$D$5:$D$184,"&lt;="&amp;DATE(A17,12,31))</f>
        <v/>
      </c>
      <c r="E17" s="3">
        <f>SUMIFS(Сценарии!$M$5:$M$184,Сценарии!$F$5:$F$184,B17,Сценарии!$D$5:$D$184,"&gt;="&amp;DATE(A17,1,1),Сценарии!$D$5:$D$184,"&lt;="&amp;DATE(A17,12,31))</f>
        <v/>
      </c>
      <c r="F17" s="3">
        <f>SUMIFS(Сценарии!$N$5:$N$184,Сценарии!$F$5:$F$184,B17,Сценарии!$D$5:$D$184,"&gt;="&amp;DATE(A17,1,1),Сценарии!$D$5:$D$184,"&lt;="&amp;DATE(A17,12,31))</f>
        <v/>
      </c>
      <c r="G17" s="3">
        <f>SUMPRODUCT((Сценарии!$F$5:$F$184=B17)*(Сценарии!$D$5:$D$184&gt;=DATE(A17,1,1))*(Сценарии!$D$5:$D$184&lt;=DATE(A17,12,31))*Сценарии!$O$5:$O$184*Сценарии!$J$5:$J$184/365)</f>
        <v/>
      </c>
      <c r="H17" s="3">
        <f>E17-F17-G17</f>
        <v/>
      </c>
    </row>
    <row r="18">
      <c r="A18" s="3" t="n">
        <v>2026</v>
      </c>
      <c r="B18" s="3" t="inlineStr">
        <is>
          <t>Повтор метода</t>
        </is>
      </c>
      <c r="C18" s="3">
        <f>COUNTIFS(Сценарии!$F$5:$F$184,B18,Сценарии!$D$5:$D$184,"&gt;="&amp;DATE(A18,1,1),Сценарии!$D$5:$D$184,"&lt;="&amp;DATE(A18,12,31))</f>
        <v/>
      </c>
      <c r="D18" s="3">
        <f>SUMIFS(Сценарии!$J$5:$J$184,Сценарии!$F$5:$F$184,B18,Сценарии!$D$5:$D$184,"&gt;="&amp;DATE(A18,1,1),Сценарии!$D$5:$D$184,"&lt;="&amp;DATE(A18,12,31))</f>
        <v/>
      </c>
      <c r="E18" s="3">
        <f>SUMIFS(Сценарии!$M$5:$M$184,Сценарии!$F$5:$F$184,B18,Сценарии!$D$5:$D$184,"&gt;="&amp;DATE(A18,1,1),Сценарии!$D$5:$D$184,"&lt;="&amp;DATE(A18,12,31))</f>
        <v/>
      </c>
      <c r="F18" s="3">
        <f>SUMIFS(Сценарии!$N$5:$N$184,Сценарии!$F$5:$F$184,B18,Сценарии!$D$5:$D$184,"&gt;="&amp;DATE(A18,1,1),Сценарии!$D$5:$D$184,"&lt;="&amp;DATE(A18,12,31))</f>
        <v/>
      </c>
      <c r="G18" s="3">
        <f>SUMPRODUCT((Сценарии!$F$5:$F$184=B18)*(Сценарии!$D$5:$D$184&gt;=DATE(A18,1,1))*(Сценарии!$D$5:$D$184&lt;=DATE(A18,12,31))*Сценарии!$O$5:$O$184*Сценарии!$J$5:$J$184/365)</f>
        <v/>
      </c>
      <c r="H18" s="3">
        <f>E18-F18-G18</f>
        <v/>
      </c>
    </row>
    <row r="19">
      <c r="A19" s="3" t="n">
        <v>2026</v>
      </c>
      <c r="B19" s="3" t="inlineStr">
        <is>
          <t>Новый подбор</t>
        </is>
      </c>
      <c r="C19" s="3">
        <f>COUNTIFS(Сценарии!$F$5:$F$184,B19,Сценарии!$D$5:$D$184,"&gt;="&amp;DATE(A19,1,1),Сценарии!$D$5:$D$184,"&lt;="&amp;DATE(A19,12,31))</f>
        <v/>
      </c>
      <c r="D19" s="3">
        <f>SUMIFS(Сценарии!$J$5:$J$184,Сценарии!$F$5:$F$184,B19,Сценарии!$D$5:$D$184,"&gt;="&amp;DATE(A19,1,1),Сценарии!$D$5:$D$184,"&lt;="&amp;DATE(A19,12,31))</f>
        <v/>
      </c>
      <c r="E19" s="3">
        <f>SUMIFS(Сценарии!$M$5:$M$184,Сценарии!$F$5:$F$184,B19,Сценарии!$D$5:$D$184,"&gt;="&amp;DATE(A19,1,1),Сценарии!$D$5:$D$184,"&lt;="&amp;DATE(A19,12,31))</f>
        <v/>
      </c>
      <c r="F19" s="3">
        <f>SUMIFS(Сценарии!$N$5:$N$184,Сценарии!$F$5:$F$184,B19,Сценарии!$D$5:$D$184,"&gt;="&amp;DATE(A19,1,1),Сценарии!$D$5:$D$184,"&lt;="&amp;DATE(A19,12,31))</f>
        <v/>
      </c>
      <c r="G19" s="3">
        <f>SUMPRODUCT((Сценарии!$F$5:$F$184=B19)*(Сценарии!$D$5:$D$184&gt;=DATE(A19,1,1))*(Сценарии!$D$5:$D$184&lt;=DATE(A19,12,31))*Сценарии!$O$5:$O$184*Сценарии!$J$5:$J$184/365)</f>
        <v/>
      </c>
      <c r="H19" s="3">
        <f>E19-F19-G19</f>
        <v/>
      </c>
    </row>
    <row r="20">
      <c r="A20" s="3" t="n">
        <v>2026</v>
      </c>
      <c r="B20" s="3" t="inlineStr">
        <is>
          <t>Комплексная защита</t>
        </is>
      </c>
      <c r="C20" s="3">
        <f>COUNTIFS(Сценарии!$F$5:$F$184,B20,Сценарии!$D$5:$D$184,"&gt;="&amp;DATE(A20,1,1),Сценарии!$D$5:$D$184,"&lt;="&amp;DATE(A20,12,31))</f>
        <v/>
      </c>
      <c r="D20" s="3">
        <f>SUMIFS(Сценарии!$J$5:$J$184,Сценарии!$F$5:$F$184,B20,Сценарии!$D$5:$D$184,"&gt;="&amp;DATE(A20,1,1),Сценарии!$D$5:$D$184,"&lt;="&amp;DATE(A20,12,31))</f>
        <v/>
      </c>
      <c r="E20" s="3">
        <f>SUMIFS(Сценарии!$M$5:$M$184,Сценарии!$F$5:$F$184,B20,Сценарии!$D$5:$D$184,"&gt;="&amp;DATE(A20,1,1),Сценарии!$D$5:$D$184,"&lt;="&amp;DATE(A20,12,31))</f>
        <v/>
      </c>
      <c r="F20" s="3">
        <f>SUMIFS(Сценарии!$N$5:$N$184,Сценарии!$F$5:$F$184,B20,Сценарии!$D$5:$D$184,"&gt;="&amp;DATE(A20,1,1),Сценарии!$D$5:$D$184,"&lt;="&amp;DATE(A20,12,31))</f>
        <v/>
      </c>
      <c r="G20" s="3">
        <f>SUMPRODUCT((Сценарии!$F$5:$F$184=B20)*(Сценарии!$D$5:$D$184&gt;=DATE(A20,1,1))*(Сценарии!$D$5:$D$184&lt;=DATE(A20,12,31))*Сценарии!$O$5:$O$184*Сценарии!$J$5:$J$184/365)</f>
        <v/>
      </c>
      <c r="H20" s="3">
        <f>E20-F20-G20</f>
        <v/>
      </c>
    </row>
  </sheetData>
  <autoFilter ref="A1:H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2026-10-09T06:21:45Z</dcterms:created>
  <dcterms:modified xmlns:dcterms="http://purl.org/dc/terms/" xmlns:xsi="http://www.w3.org/2001/XMLSchema-instance" xsi:type="dcterms:W3CDTF">2026-10-09T06:21:46Z</dcterms:modified>
</cp:coreProperties>
</file>